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540" windowWidth="27495" windowHeight="13995"/>
  </bookViews>
  <sheets>
    <sheet name="Lahan yang Dimiliki " sheetId="1" r:id="rId1"/>
    <sheet name="DATA PENYULUH PERTANIAN" sheetId="2" r:id="rId2"/>
    <sheet name="DATA PENYULUH PERTANIAN 2" sheetId="3" r:id="rId3"/>
    <sheet name="DATA DEMOGRAFI PETANI" sheetId="4" r:id="rId4"/>
    <sheet name="DATA BRIGADE PANGAN" sheetId="5" r:id="rId5"/>
    <sheet name="DATA PETANI MILENIAL" sheetId="6" r:id="rId6"/>
    <sheet name="Sheet1" sheetId="7" r:id="rId7"/>
    <sheet name="Sheet4" sheetId="8" r:id="rId8"/>
  </sheets>
  <calcPr calcId="145621"/>
</workbook>
</file>

<file path=xl/calcChain.xml><?xml version="1.0" encoding="utf-8"?>
<calcChain xmlns="http://schemas.openxmlformats.org/spreadsheetml/2006/main">
  <c r="E247" i="4" l="1"/>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E208" i="4"/>
  <c r="E207" i="4"/>
  <c r="E206" i="4"/>
  <c r="E205" i="4"/>
  <c r="E204" i="4"/>
  <c r="E203" i="4"/>
  <c r="E202" i="4"/>
  <c r="E201" i="4"/>
  <c r="E200" i="4"/>
  <c r="E199" i="4"/>
  <c r="E198" i="4"/>
  <c r="E197" i="4"/>
  <c r="E196" i="4"/>
  <c r="E195" i="4"/>
  <c r="E194" i="4"/>
  <c r="E193" i="4"/>
  <c r="E192" i="4"/>
  <c r="E191" i="4"/>
  <c r="E190" i="4"/>
  <c r="E189" i="4"/>
  <c r="E188" i="4"/>
  <c r="E187" i="4"/>
  <c r="E186" i="4"/>
  <c r="E185" i="4"/>
  <c r="E184"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alcChain>
</file>

<file path=xl/comments1.xml><?xml version="1.0" encoding="utf-8"?>
<comments xmlns="http://schemas.openxmlformats.org/spreadsheetml/2006/main">
  <authors>
    <author/>
  </authors>
  <commentList>
    <comment ref="A54" authorId="0">
      <text>
        <r>
          <rPr>
            <sz val="11"/>
            <color theme="1"/>
            <rFont val="Calibri"/>
            <scheme val="minor"/>
          </rPr>
          <t>47</t>
        </r>
      </text>
    </comment>
  </commentList>
</comments>
</file>

<file path=xl/sharedStrings.xml><?xml version="1.0" encoding="utf-8"?>
<sst xmlns="http://schemas.openxmlformats.org/spreadsheetml/2006/main" count="2472" uniqueCount="1665">
  <si>
    <t>Kabupaten Muaro Jambi</t>
  </si>
  <si>
    <t>No.</t>
  </si>
  <si>
    <t>Kecamatan</t>
  </si>
  <si>
    <t>Desa</t>
  </si>
  <si>
    <t>Jenis lahan</t>
  </si>
  <si>
    <t xml:space="preserve"> (IP)</t>
  </si>
  <si>
    <t>Penyebab IP masih 100</t>
  </si>
  <si>
    <t>Nama Penyuluhnya</t>
  </si>
  <si>
    <t>Lahan Rawa Lebak</t>
  </si>
  <si>
    <t>Lahan Kering</t>
  </si>
  <si>
    <t>Lahan Tadah Hujan</t>
  </si>
  <si>
    <t>1x</t>
  </si>
  <si>
    <t>2x</t>
  </si>
  <si>
    <t>3x</t>
  </si>
  <si>
    <t>Mestong</t>
  </si>
  <si>
    <t>Suka Maju</t>
  </si>
  <si>
    <t>√</t>
  </si>
  <si>
    <t>Keterbatasan pola tanam akibat lamanya umur tanam padi gogo  yaitu lebih dari 6 bulan sejak pengolahan lahan hingga panen sehingga petani hanya mampu melakukan satu kali tanam dalam satu tahun</t>
  </si>
  <si>
    <t>Aulia Vivi Zulaiha</t>
  </si>
  <si>
    <t>Muaro Sebapo</t>
  </si>
  <si>
    <t>Lahan TUSIP</t>
  </si>
  <si>
    <t>Pelempang</t>
  </si>
  <si>
    <t>Ibru</t>
  </si>
  <si>
    <t>budidaya jagung</t>
  </si>
  <si>
    <t>Sri Suheni</t>
  </si>
  <si>
    <t>Maro Sebo</t>
  </si>
  <si>
    <t>Mudung Darat</t>
  </si>
  <si>
    <t>Kondisi lahan rawan banjir</t>
  </si>
  <si>
    <t>Ahmad Junaidi</t>
  </si>
  <si>
    <t>Danau Kedap</t>
  </si>
  <si>
    <t>Setiris</t>
  </si>
  <si>
    <t>Moni Tirta Putri</t>
  </si>
  <si>
    <t>Kel. Jambi Kecil</t>
  </si>
  <si>
    <t>Jambi Tulo</t>
  </si>
  <si>
    <t>Sarah Erya</t>
  </si>
  <si>
    <t>Muara Jambi</t>
  </si>
  <si>
    <t>Rusli. M</t>
  </si>
  <si>
    <t>Bakung</t>
  </si>
  <si>
    <t>Baru</t>
  </si>
  <si>
    <t>Danau Lamo</t>
  </si>
  <si>
    <t>Asnawi. S</t>
  </si>
  <si>
    <t>Niaso</t>
  </si>
  <si>
    <t>Hasanuddin</t>
  </si>
  <si>
    <t>Tanjung Katung</t>
  </si>
  <si>
    <t>Lubuk Raman</t>
  </si>
  <si>
    <t>Jambi Luar Kota</t>
  </si>
  <si>
    <t>Simpang Limo</t>
  </si>
  <si>
    <t>v</t>
  </si>
  <si>
    <t>Yeni Angraini, S.P</t>
  </si>
  <si>
    <t>Kumpeh Ulu</t>
  </si>
  <si>
    <t>Muara Kumpeh</t>
  </si>
  <si>
    <t>Riki Aprinaldi Harmus</t>
  </si>
  <si>
    <t>Teluk Raya</t>
  </si>
  <si>
    <t>Sembubuk</t>
  </si>
  <si>
    <t>Kel. Pijoan</t>
  </si>
  <si>
    <t>Hasiah, A.Md</t>
  </si>
  <si>
    <t>Kumpeh ulu</t>
  </si>
  <si>
    <t>Sungai Terap</t>
  </si>
  <si>
    <t>Maria Ulfa, S.PKP</t>
  </si>
  <si>
    <t>Sungai Duren</t>
  </si>
  <si>
    <t>Maylina Susana, S.P</t>
  </si>
  <si>
    <t>Pematang Gajah</t>
  </si>
  <si>
    <t>Senaung</t>
  </si>
  <si>
    <t>Pemunduran</t>
  </si>
  <si>
    <t>Solatiah, SP</t>
  </si>
  <si>
    <t>Sipin teluk duren</t>
  </si>
  <si>
    <t>Taman Rajo</t>
  </si>
  <si>
    <t>Tebat Patah</t>
  </si>
  <si>
    <t>Banjir Tahunan</t>
  </si>
  <si>
    <t>Raden Dedi, SP</t>
  </si>
  <si>
    <t>Manis Mato</t>
  </si>
  <si>
    <t>Kunangan</t>
  </si>
  <si>
    <t>Elli Kartika Wati, S.PKP</t>
  </si>
  <si>
    <t>Dusun Mudo</t>
  </si>
  <si>
    <t>Kemingking Dalam</t>
  </si>
  <si>
    <t>Zulkifli, S.ST</t>
  </si>
  <si>
    <t>Kemingking Luar</t>
  </si>
  <si>
    <t>Talang Duku</t>
  </si>
  <si>
    <t>Suhastiah. S.PKP</t>
  </si>
  <si>
    <t>Sekumbung</t>
  </si>
  <si>
    <t>Teluk Jambu</t>
  </si>
  <si>
    <t>Dimas Badri, S.Tr.P</t>
  </si>
  <si>
    <t>Rukam</t>
  </si>
  <si>
    <t>Sekernan</t>
  </si>
  <si>
    <t>Tantan</t>
  </si>
  <si>
    <t>kondisi lahan rawan banjir</t>
  </si>
  <si>
    <t>Muhammad Suhadi</t>
  </si>
  <si>
    <t>Pulau Kayu Aro</t>
  </si>
  <si>
    <t>Suko Awin Jaya</t>
  </si>
  <si>
    <t>Mendalo Laut</t>
  </si>
  <si>
    <t>Susanti</t>
  </si>
  <si>
    <t>Kumpeh</t>
  </si>
  <si>
    <t>Londerang</t>
  </si>
  <si>
    <t>Sawah berada di area DAS Batanghari, tanam hanya di dapat dilakukan satu kali dalam setahun, bergantung dengan fluktuasi air sungai/dalam kondisi kemarau</t>
  </si>
  <si>
    <t>Mujtahidul Ikhlas</t>
  </si>
  <si>
    <t>Rondang</t>
  </si>
  <si>
    <t>Pudak</t>
  </si>
  <si>
    <t>Daerah rawa lebak rawan banjir akibat naiknya DAS dan curah hujan, sedang Tadah hujan rawan kekeringan saat curah hujan kurang</t>
  </si>
  <si>
    <t>Suhendro,SP</t>
  </si>
  <si>
    <t>Kedemangan</t>
  </si>
  <si>
    <t>M. Sofian</t>
  </si>
  <si>
    <t>kumpeh</t>
  </si>
  <si>
    <t>tanjung</t>
  </si>
  <si>
    <t>Tomizi.sp</t>
  </si>
  <si>
    <t>sogo</t>
  </si>
  <si>
    <t>gedong karya</t>
  </si>
  <si>
    <t>Berembang</t>
  </si>
  <si>
    <t>Sawah berada di area DAS Batanghari, tanam hanya di dapat dilakukan satu kali dalam setahun, bergantung dengan fluktuasi air sungai/dalam kondisi kemarau
Pengairan tidak terhubung ke sungai sehingga tidak ada pembuangan air ketika hujan dengan intensitas tinggi
Banyak petani penggarap yang berorientasi hanya memenuhi kebutuhan pangan</t>
  </si>
  <si>
    <t>Baginda Akhiruddin, SP</t>
  </si>
  <si>
    <t>Sarang Burung</t>
  </si>
  <si>
    <t>30.48</t>
  </si>
  <si>
    <t>Meilin Manik, S.P.</t>
  </si>
  <si>
    <t>rantau majo</t>
  </si>
  <si>
    <t>sekernan</t>
  </si>
  <si>
    <t xml:space="preserve">    √</t>
  </si>
  <si>
    <t>Muhammad nizomuddin</t>
  </si>
  <si>
    <t>Pulau Mentaro</t>
  </si>
  <si>
    <t>Sawah berada di area DAS Batanghari, tanam hanya di dapat dilakukan satu kali dalam setahun, bergantung dengan fluktuasi air sungai serta banjir tahunan.</t>
  </si>
  <si>
    <t>Taufik Hidayat</t>
  </si>
  <si>
    <t>Sungai Aur</t>
  </si>
  <si>
    <t xml:space="preserve">Betung </t>
  </si>
  <si>
    <t>Mela Widya, S.P</t>
  </si>
  <si>
    <t xml:space="preserve">Pematang Raman </t>
  </si>
  <si>
    <t>Tjg. Pauh km 32</t>
  </si>
  <si>
    <t>lahan tusip</t>
  </si>
  <si>
    <t>Ahmad Sabri, S.P.</t>
  </si>
  <si>
    <t>Tjg. Pauh km 39</t>
  </si>
  <si>
    <t>Tjg. Pauh Talang Pelita</t>
  </si>
  <si>
    <t>Desa Sebapo</t>
  </si>
  <si>
    <t>Keterbatasan akibat lamanya umur tanam padi gogo  yaitu lebih dari 6 bulan sejak pengolahan lahan hingga panen sehingga petani hanya mampu melakukan satu kali tanam dalam satu tahun</t>
  </si>
  <si>
    <t>Ekawati, SP</t>
  </si>
  <si>
    <t>Desa Pondok Meja</t>
  </si>
  <si>
    <t>Desa Nagasari</t>
  </si>
  <si>
    <t>Lahan tusip</t>
  </si>
  <si>
    <t>Tunas mudo</t>
  </si>
  <si>
    <t>Annies riskika halali</t>
  </si>
  <si>
    <t>Bukit baling</t>
  </si>
  <si>
    <t>Sumber Jaya</t>
  </si>
  <si>
    <t>Indeks Pertanaman (IP) padi sawah di Sumber Jaya masih berada pada IP 100 dan belum dapat ditingkatkan menjadi IP 200. Hal ini disebabkan oleh kondisi hidrologi Sungai Batanghari yang sering meluap, sehingga mengakibatkan terjadinya genangan dan banjir pada lahan sawah. Kondisi tersebut menghambat pelaksanaan tanam kedua karena waktu tanam menjadi tidak menentu dan berisiko tinggi terhadap kegagalan tanaman.</t>
  </si>
  <si>
    <t>RENO, SP</t>
  </si>
  <si>
    <t>Ramin</t>
  </si>
  <si>
    <t>Tidak ada potensi sawah</t>
  </si>
  <si>
    <t>WANTO, S.PKP</t>
  </si>
  <si>
    <t>Sakean</t>
  </si>
  <si>
    <t>Sudah Indek Pertanam 200</t>
  </si>
  <si>
    <t>MURHALIM</t>
  </si>
  <si>
    <t>Tarikan</t>
  </si>
  <si>
    <t>Indeks Pertanaman (IP) padi sawah di Desa Tarikan masih berada pada IP 100 dan belum dapat ditingkatkan menjadi IP 200. Hal ini disebabkan oleh kondisi hidrologi Sungai Batanghari yang sering meluap, sehingga mengakibatkan terjadinya genangan dan banjir pada lahan sawah. Kondisi tersebut menghambat pelaksanaan tanam kedua karena waktu tanam menjadi tidak menentu dan berisiko tinggi terhadap kegagalan tanaman.</t>
  </si>
  <si>
    <t>Rengas Bandung</t>
  </si>
  <si>
    <t>72,37</t>
  </si>
  <si>
    <t>Lahan Ladang (Padi Gogo) lahan Tusip, Lahan sawah OPLAH Sudah Indek Pertanam (IP) 200</t>
  </si>
  <si>
    <t>Aderia Qur'annisya AS</t>
  </si>
  <si>
    <t>Sungai Gelam</t>
  </si>
  <si>
    <t>Kebon IX</t>
  </si>
  <si>
    <t>Tanaman sayuran, tanaman cabe</t>
  </si>
  <si>
    <t>Rita Wati Marbun, SP.</t>
  </si>
  <si>
    <t>Mekar Jaya</t>
  </si>
  <si>
    <t xml:space="preserve">Sungai Gelam </t>
  </si>
  <si>
    <t>Sido Mukti</t>
  </si>
  <si>
    <t>3 ha, 218 ha</t>
  </si>
  <si>
    <t>Tanaman sayuran, kelapa sawit</t>
  </si>
  <si>
    <t>Penyengat Olak</t>
  </si>
  <si>
    <t>Siti Maisaroh, SPKP</t>
  </si>
  <si>
    <t>Pematang Pulai</t>
  </si>
  <si>
    <t>49,3</t>
  </si>
  <si>
    <t>Tidak ada pagar sawah</t>
  </si>
  <si>
    <t>Tanjung Lanjut</t>
  </si>
  <si>
    <t>Perkebunan Kelapa Sawit</t>
  </si>
  <si>
    <t>Revi Anggraini Fitri, A.Md</t>
  </si>
  <si>
    <t>DATA PENYULUH PERTANIAN</t>
  </si>
  <si>
    <t>KABUPATEN MUARO JAMBI</t>
  </si>
  <si>
    <t>Nama Penyuluh</t>
  </si>
  <si>
    <t>Usia Penyuluh (Tahun)</t>
  </si>
  <si>
    <t>Kelompok Tani yang dibina</t>
  </si>
  <si>
    <t>Luas Tambah Tanam (LTT)</t>
  </si>
  <si>
    <t>Hambatan dalam Peningkatan LTT</t>
  </si>
  <si>
    <t>Komoditi utama tanaman perkebunan sehingga lahan yang digunakan untuk budidaya tanaman pangan dan hortikultura sangat terbatas</t>
  </si>
  <si>
    <t>Kondisi lahan rawan banjir, dan masih kurangnya minat petani untuk bertani</t>
  </si>
  <si>
    <t>Sri suheni</t>
  </si>
  <si>
    <t xml:space="preserve"> Komoditi utama tanaman perkebunan sehingga lahan yang digunakan untuk budidaya tanaman pangan dan hortikultura sangat terbatas</t>
  </si>
  <si>
    <t>Ekawati</t>
  </si>
  <si>
    <t>Komoditi utama adalah tanaman perkebunan sehingga lahan yang akan di gunakan untuk tanaman pangan dan hortikultura terbatas.</t>
  </si>
  <si>
    <t>Kondisi lahan rawan banjir, kurang modal, kurang alsintan</t>
  </si>
  <si>
    <t>Petani kurang berminat menanam 2 kali karena lahan rawan banjir, kurang modal</t>
  </si>
  <si>
    <t xml:space="preserve">Susanti </t>
  </si>
  <si>
    <t>Kondisi lahan rawan banjir, dan masih kurangnya modal dan alsintan</t>
  </si>
  <si>
    <t>Kondisi lahan rawan banjir, Musim Kemarau kekeringan, kurang modal, kurang alsintan</t>
  </si>
  <si>
    <t>Kondisi lahan rawan banjir, kurang modal, kurang alsintan, Musim Kemarau kekeringan</t>
  </si>
  <si>
    <t>Riki Aprinaldi Harmus,S.P</t>
  </si>
  <si>
    <t>49,41</t>
  </si>
  <si>
    <t>Kondisi Desain lahan sawah tidak mendukung untuk IP 200,</t>
  </si>
  <si>
    <t>69,01</t>
  </si>
  <si>
    <t>89,03</t>
  </si>
  <si>
    <t>81,58</t>
  </si>
  <si>
    <t>Rian Gusman Arri</t>
  </si>
  <si>
    <t>kondisi lahan rawan banjir sehingga petani kurang berminat meningkatkan IP</t>
  </si>
  <si>
    <t>295 Ha padi sawah (6 poktan) dan horti sayuran 35 Ha (6 poktan horti), untuk padi sawah lebih pada pengaruh ketersediaan alsintan yang memadai dan curah hujan tinggi air naik serta curah hujan kurang sawah kekurangan air.</t>
  </si>
  <si>
    <t>Tomizi.SP</t>
  </si>
  <si>
    <t>kondisi lahan tidak memungkinkan untuk ip200</t>
  </si>
  <si>
    <t>RusIi,SP</t>
  </si>
  <si>
    <t>K0m0diti utama tanaman perkebunan ,sehingga Iahan  yang digunakan untuk budidaya tanaman pangan dan h0rtikuIutura terbatas</t>
  </si>
  <si>
    <t>Kondisi lahan tidak memadai, karena saat musim hujan kebanjiran dan musim kemarau kekeringan</t>
  </si>
  <si>
    <t>Kondisi lahan rawan banjir, dan tidak memadai untuk ip 200</t>
  </si>
  <si>
    <t>kondisi lahan selalu terkena banjir tahunan yang tidak memungkinkan untuk tanam 2x dalam setahun</t>
  </si>
  <si>
    <t>Safendi Erwanto</t>
  </si>
  <si>
    <t>Kondisi lahan selalu terkena banjir tahunan, waktu banjir bisa mencapai 3-5 bulan sehingga tidak memungkinkan untuk tanam 2x dalam 1 tahun</t>
  </si>
  <si>
    <t>Rizka Amalia, S.P, M.P</t>
  </si>
  <si>
    <t>komoditi utama adalah tanaman perkebunan karet dan kelapa sawit</t>
  </si>
  <si>
    <t>Muhammad Guritno Raharjo, S.P</t>
  </si>
  <si>
    <t>komoditi utama adalah tanaman perkebunan kelapa sawit</t>
  </si>
  <si>
    <t xml:space="preserve">kondisi lahan selalu terkena banjir tahunan  dengan waktu yang lama (4-5 bulan) sehingga tidak memungkinkan untuk tanam 2 kali </t>
  </si>
  <si>
    <t>komoditas utama adalah tanaman perkebunan karet dan kelapa sawit</t>
  </si>
  <si>
    <t>Yasmanita, SPKP</t>
  </si>
  <si>
    <t>Komoditas utama Hortikultura</t>
  </si>
  <si>
    <t>Aryani, S.TP</t>
  </si>
  <si>
    <t>komoditi utama hortikultura</t>
  </si>
  <si>
    <t>Keterbatasan sistem irigasi, terutama pada sawah tadah hujan, membuat ketersediaan air tidak stabil dan menyulitkan petani dalam melakukan tanam lebih dari satu kali dalam setahun.</t>
  </si>
  <si>
    <t>Lahan hanya dapat ditanam 1x dalam setahun dikarenakan berada di tepi DAS Batanghari</t>
  </si>
  <si>
    <t>Eko Haryono</t>
  </si>
  <si>
    <t>Potensi sawah mencapai 50 ha, terkendala normalisasi sungai , bantuan legalisasi lahan, SDM petani serta potensi pagi gogo pada lahan PSR</t>
  </si>
  <si>
    <t>Arni Widya Sari</t>
  </si>
  <si>
    <t xml:space="preserve">Komoditi utama yang lebih diminati petani sesuai SDM dan kebiasaan petani adalah budidaya tanaman perkebunan kelapa sawit dan hortikultura </t>
  </si>
  <si>
    <t>85,37</t>
  </si>
  <si>
    <t>62,37 ha Lahan Oplah Sudah IP 200, 10 Ha sawah reguler Kondisi lahan rawan banjir, 13 Ha padi Gogo tusip Jagung</t>
  </si>
  <si>
    <t>Kondisi lahan rawan banjir, kurang alsintan dan mayoritas tanam benih padi 6 bln</t>
  </si>
  <si>
    <t>Revi Anggraini Fitri</t>
  </si>
  <si>
    <t>Kondisi lahan rawan banjir dan petani masih mengeluhkan ternak )sapi yang masuk kelahan warga karena tidak adanya pagar sawah. saat ini masuk ke kegiatan oplah th 2025 diupayakan untuk penaikan ke IP 200</t>
  </si>
  <si>
    <t>DATA PENYULUH PERTANIAN
KABUPATEN MUARO JAMBI</t>
  </si>
  <si>
    <t>Usia Penyuluh</t>
  </si>
  <si>
    <t>Budidaya yang diajarkan pada Petani diatas 50 thn</t>
  </si>
  <si>
    <t>Budidaya yang diajarkan pada Petani Milenial</t>
  </si>
  <si>
    <t>Budidaya yang diajarkan pada Brigade Pangan</t>
  </si>
  <si>
    <t>Budidaya jagung TOT</t>
  </si>
  <si>
    <t>Hidroponik</t>
  </si>
  <si>
    <t>Tidak ada brigade pangan</t>
  </si>
  <si>
    <t>tanaman  sayuran dalam polibag</t>
  </si>
  <si>
    <t>Tanaman Padi</t>
  </si>
  <si>
    <t>Padi Sawah, Jagung, Kacang Tanah, Cabai, Sayuran</t>
  </si>
  <si>
    <t>Tidak ada Brigade pangan</t>
  </si>
  <si>
    <t>Padi sawah, jagung, Hortikultura</t>
  </si>
  <si>
    <t>Padi Sawah, Jagung, Kacang Tanah, Sayuran, Karet, Kelapa Sawit</t>
  </si>
  <si>
    <t>Cabai, Sayuran, Kelapa Sawit, Padi Sawah</t>
  </si>
  <si>
    <t>Padi Sawah</t>
  </si>
  <si>
    <t>Padi Sawah, Jagung, Kacang Tanah, Cabai, Sayuran, Karet, Kelapa Sawit</t>
  </si>
  <si>
    <t>Padi Sawah, Jagung, Kacang Tanah, Cabai, Sayuran, Kelapa Sawit</t>
  </si>
  <si>
    <t>Padi, Sayuran, Kelapa Sawit, Hidroponik, Ternak ayam</t>
  </si>
  <si>
    <t>Padi Sawah, Jagung, Kacang Tanah,Sayuran, Kelapa Sawit</t>
  </si>
  <si>
    <t>Padi, Cabai, Sayuran, Kelapa Sawit</t>
  </si>
  <si>
    <t>Riki Aprinaldi Harmus, SP</t>
  </si>
  <si>
    <t>Padi Sawah, Jagung, Sawit, Jamur , Hidroponik</t>
  </si>
  <si>
    <t>Padi Sawah,hidroponik,cabai,ternak ayam</t>
  </si>
  <si>
    <t>Padi Sawah, Jagung, Kacang Tanah, Cabai, Sayuran, Karet, Kelapa Sawit, ternak</t>
  </si>
  <si>
    <t>Jagung, Cabai, Sayuran, Kelapa Sawit</t>
  </si>
  <si>
    <t>Padi sawah, Hortikultura, Kelapa Sawit, Karet</t>
  </si>
  <si>
    <t>Hortikultura</t>
  </si>
  <si>
    <t>Padi Sawah, Jagung, Sayuran</t>
  </si>
  <si>
    <t>padi sawah, Kelapa sawit</t>
  </si>
  <si>
    <t>tidak ada brigade pangan</t>
  </si>
  <si>
    <t>Padi sawah, horti aneka sayuran, ternak dan perkebunan sawit</t>
  </si>
  <si>
    <t xml:space="preserve">Padi sawah , Hidroponik dan ternak </t>
  </si>
  <si>
    <t xml:space="preserve">Padi Sawah dan pengolahan hasil </t>
  </si>
  <si>
    <t>padi sawah.horti,buah buahan ternak dan perkebunan kakao,pinang dan sawit</t>
  </si>
  <si>
    <t>padi sawah dan hortikultura</t>
  </si>
  <si>
    <t>H0rtikuItura aneka sayuran, perkebunan (sawit dan karet )</t>
  </si>
  <si>
    <t>Sayuran,keIapa sawit</t>
  </si>
  <si>
    <t>tidak kelompoktani milenial</t>
  </si>
  <si>
    <t>Usaha Tani Padi Sawah</t>
  </si>
  <si>
    <t>Padi Sawah, Jagung, Cabai, Sayuran</t>
  </si>
  <si>
    <t>Padi sawah, jagung, cabai, sayuran</t>
  </si>
  <si>
    <t>Budidaya jagung hibrida</t>
  </si>
  <si>
    <t>Yuliana</t>
  </si>
  <si>
    <t xml:space="preserve">Cabai, Sayuran, perkebunan </t>
  </si>
  <si>
    <t xml:space="preserve">Cabai, Sayuran, Perkebunan </t>
  </si>
  <si>
    <t xml:space="preserve">Tidak ada Brigade Pangan </t>
  </si>
  <si>
    <t>Padi Sawah, Jagung, Hortikultura, dan Kelapa Sawit</t>
  </si>
  <si>
    <t>-</t>
  </si>
  <si>
    <t>padi sawah, jagung, hortikultura</t>
  </si>
  <si>
    <t>tanaman cabai dan aneka sayur di lahan pekarangan</t>
  </si>
  <si>
    <t>Ternak dan cabai</t>
  </si>
  <si>
    <t>tanaman kelapa sawit</t>
  </si>
  <si>
    <t>ternak dan jagung TOT</t>
  </si>
  <si>
    <t xml:space="preserve">padi sawah, hortikultura </t>
  </si>
  <si>
    <t xml:space="preserve">tidak ada brigade pangan </t>
  </si>
  <si>
    <t>hortikultura aneka sayuran dan perkebunan {sawit dan karet}</t>
  </si>
  <si>
    <t>ternak dan menanam jagung</t>
  </si>
  <si>
    <t>Tanaman sayuran dalam polibag</t>
  </si>
  <si>
    <t>hidroponik</t>
  </si>
  <si>
    <t>Budidaya Sayuran</t>
  </si>
  <si>
    <t>Budidaya cabai</t>
  </si>
  <si>
    <t>tanaman hortikultura di pekarangan</t>
  </si>
  <si>
    <t>Budidaya Cabai dan Jagung</t>
  </si>
  <si>
    <t>Tidak ada Brigade Pangan</t>
  </si>
  <si>
    <t>Padi sawah, Sayuran, Buah-Buahan, Kelapa Sawit DLL</t>
  </si>
  <si>
    <t>Padi Sawah (Sistim Tanam Jajar Legowo), Sayuran (TOT Mulsa Alami)</t>
  </si>
  <si>
    <t>Padi Sawah, Jagung, Cabai dan Sayuran</t>
  </si>
  <si>
    <t>Budidaya Cabai dan Sayuran</t>
  </si>
  <si>
    <t>Kelapa Sawait</t>
  </si>
  <si>
    <t>Padi sawah, hortikultura, kelapa sawit</t>
  </si>
  <si>
    <t>Padi Sawah (Sistim Tanam Jajar Legowo), Sayuran (M-TOT)</t>
  </si>
  <si>
    <t xml:space="preserve">Kesuburan lahan, GAP, GHP, Sertifikasi Organik, Pestisida, Peningkatan skala usaha </t>
  </si>
  <si>
    <t>Pengenalan smart farming, hidroponik, GAP GHP, Market Place</t>
  </si>
  <si>
    <t>Kesuburan lahan, penggunaan pupuk dan pestisida, peningkatan skala usaha</t>
  </si>
  <si>
    <t>Pertanian terintegrasi, hidroponik, GAP</t>
  </si>
  <si>
    <t>Pemanfaatan Botol Bekas Melalui Praktik Budidaya Urban Farming di Pekarangan Rumah dan Pembuatan Pupuk Bokashi</t>
  </si>
  <si>
    <t>Budidaya padi sawah</t>
  </si>
  <si>
    <t>tidak ada</t>
  </si>
  <si>
    <t>Budidaya padi sawah,  budidaya sayuran</t>
  </si>
  <si>
    <t>Nama Desa</t>
  </si>
  <si>
    <t>Kelompok Tani</t>
  </si>
  <si>
    <t>Nama Petani</t>
  </si>
  <si>
    <t>Umur Petani</t>
  </si>
  <si>
    <t>Luas Tanah Dimiliki</t>
  </si>
  <si>
    <t>Luas Tanah Digarap</t>
  </si>
  <si>
    <t>Kebutuhan Jumlah Petani agar lahan tergarap semua</t>
  </si>
  <si>
    <t>Sumber Rezeki</t>
  </si>
  <si>
    <t>Riyanto</t>
  </si>
  <si>
    <t>Alsintan</t>
  </si>
  <si>
    <t>Eko Agus Santoso</t>
  </si>
  <si>
    <t>Saniin</t>
  </si>
  <si>
    <t>Hartoyo</t>
  </si>
  <si>
    <t>Modal</t>
  </si>
  <si>
    <t>Niswanto</t>
  </si>
  <si>
    <t>Tunas makmur ll</t>
  </si>
  <si>
    <t>Misman</t>
  </si>
  <si>
    <t>purnomo</t>
  </si>
  <si>
    <t>Bustanul Aripin</t>
  </si>
  <si>
    <t>susanto</t>
  </si>
  <si>
    <t>alsintan</t>
  </si>
  <si>
    <t>Anggoro kasih</t>
  </si>
  <si>
    <t>Sumber Rezeki I</t>
  </si>
  <si>
    <t>Leni Marlina</t>
  </si>
  <si>
    <t>0,41</t>
  </si>
  <si>
    <t>M Arijon</t>
  </si>
  <si>
    <t>0,42</t>
  </si>
  <si>
    <t>Nurma</t>
  </si>
  <si>
    <t>0,21</t>
  </si>
  <si>
    <t>Narwis Usman</t>
  </si>
  <si>
    <t>Abdul Gani</t>
  </si>
  <si>
    <t>0,20</t>
  </si>
  <si>
    <t>Sopiyah</t>
  </si>
  <si>
    <t>0,28</t>
  </si>
  <si>
    <t>Nurijah</t>
  </si>
  <si>
    <t>0,38</t>
  </si>
  <si>
    <t>A Hamid</t>
  </si>
  <si>
    <t>0,23</t>
  </si>
  <si>
    <t>Suraya</t>
  </si>
  <si>
    <t>0,27</t>
  </si>
  <si>
    <t>Rusmiah</t>
  </si>
  <si>
    <t>0,36</t>
  </si>
  <si>
    <t>Zubaidah</t>
  </si>
  <si>
    <t>0,29</t>
  </si>
  <si>
    <t>Anwar</t>
  </si>
  <si>
    <t>Herman</t>
  </si>
  <si>
    <t>0,39</t>
  </si>
  <si>
    <t>Muiyana</t>
  </si>
  <si>
    <t>0,18</t>
  </si>
  <si>
    <t>Dahlan</t>
  </si>
  <si>
    <t>0,09</t>
  </si>
  <si>
    <t>Helmi</t>
  </si>
  <si>
    <t>0,08</t>
  </si>
  <si>
    <t>Aswandi</t>
  </si>
  <si>
    <t>0,31</t>
  </si>
  <si>
    <t>M Hatta</t>
  </si>
  <si>
    <t>0,13</t>
  </si>
  <si>
    <t>Nurhidayah</t>
  </si>
  <si>
    <t>Muhammad Andi Faisal</t>
  </si>
  <si>
    <t>Supriyadi</t>
  </si>
  <si>
    <t>Sarudin Mizani Basri</t>
  </si>
  <si>
    <t>0,45</t>
  </si>
  <si>
    <t>Firdaus</t>
  </si>
  <si>
    <t>0,19</t>
  </si>
  <si>
    <t>M. Pati</t>
  </si>
  <si>
    <t>0,17</t>
  </si>
  <si>
    <t>Wandi</t>
  </si>
  <si>
    <t>0,12</t>
  </si>
  <si>
    <t>Jupri</t>
  </si>
  <si>
    <t>0,16</t>
  </si>
  <si>
    <t>Sumber Rezeki II</t>
  </si>
  <si>
    <t>Nurjanah</t>
  </si>
  <si>
    <t>Suhaimi</t>
  </si>
  <si>
    <t>Ridwan</t>
  </si>
  <si>
    <t>0,22</t>
  </si>
  <si>
    <t>0,25</t>
  </si>
  <si>
    <t>Ismail</t>
  </si>
  <si>
    <t>0,26</t>
  </si>
  <si>
    <t>Suhur</t>
  </si>
  <si>
    <t>0,32</t>
  </si>
  <si>
    <t>Nur Aini</t>
  </si>
  <si>
    <t>0,57</t>
  </si>
  <si>
    <t>Halimatus</t>
  </si>
  <si>
    <t>Elyana</t>
  </si>
  <si>
    <t>M.Azri</t>
  </si>
  <si>
    <t>Atila</t>
  </si>
  <si>
    <t>M. Nawawi</t>
  </si>
  <si>
    <t>0,53</t>
  </si>
  <si>
    <t>Sunarti</t>
  </si>
  <si>
    <t>Misnah</t>
  </si>
  <si>
    <t>Yulistianto</t>
  </si>
  <si>
    <t>0,33</t>
  </si>
  <si>
    <t>Sumardi</t>
  </si>
  <si>
    <t>Supiyanto</t>
  </si>
  <si>
    <t>0,24</t>
  </si>
  <si>
    <t>Awaludin</t>
  </si>
  <si>
    <t>Rubiman</t>
  </si>
  <si>
    <t>0,40</t>
  </si>
  <si>
    <t>Cik Ijah</t>
  </si>
  <si>
    <t>0,34</t>
  </si>
  <si>
    <t>M.Tholib</t>
  </si>
  <si>
    <t>Misana</t>
  </si>
  <si>
    <t>Junaidi</t>
  </si>
  <si>
    <t>Sumiati</t>
  </si>
  <si>
    <t>0,07</t>
  </si>
  <si>
    <t>A. Malik</t>
  </si>
  <si>
    <t>Mekar Jaya I</t>
  </si>
  <si>
    <t>Afrizal</t>
  </si>
  <si>
    <t>A.roni</t>
  </si>
  <si>
    <t>0,5</t>
  </si>
  <si>
    <t>A.Hamid</t>
  </si>
  <si>
    <t>Ani Rosita</t>
  </si>
  <si>
    <t>Armawati</t>
  </si>
  <si>
    <t>Amina</t>
  </si>
  <si>
    <t>Asnawi</t>
  </si>
  <si>
    <t>Asnaini</t>
  </si>
  <si>
    <t>Baharudin</t>
  </si>
  <si>
    <t>Bakhori</t>
  </si>
  <si>
    <t>Evi Ariyani</t>
  </si>
  <si>
    <t>Hamsiah</t>
  </si>
  <si>
    <t>Hukma Juwita</t>
  </si>
  <si>
    <t>Husin</t>
  </si>
  <si>
    <t>Hazmi</t>
  </si>
  <si>
    <t>Jumiyati</t>
  </si>
  <si>
    <t>Jamaudin</t>
  </si>
  <si>
    <t>M.Saman</t>
  </si>
  <si>
    <t>M.Yasin</t>
  </si>
  <si>
    <t>Marlis</t>
  </si>
  <si>
    <t>Maimunah</t>
  </si>
  <si>
    <t>M.Sapwan</t>
  </si>
  <si>
    <t>Misliati</t>
  </si>
  <si>
    <t>Maiyana</t>
  </si>
  <si>
    <t>Mardiaty</t>
  </si>
  <si>
    <t>Marzuki</t>
  </si>
  <si>
    <t>M.Tohir</t>
  </si>
  <si>
    <t>Misia</t>
  </si>
  <si>
    <t>Masita</t>
  </si>
  <si>
    <t>Mislia</t>
  </si>
  <si>
    <t>Nanik</t>
  </si>
  <si>
    <t>Nurjani</t>
  </si>
  <si>
    <t>Peri padli</t>
  </si>
  <si>
    <t>Patimah Hasbiliyah</t>
  </si>
  <si>
    <t>Rahma</t>
  </si>
  <si>
    <t>Rabuan</t>
  </si>
  <si>
    <t>Rosma</t>
  </si>
  <si>
    <t>Ratna Dewi</t>
  </si>
  <si>
    <t>Rusnada</t>
  </si>
  <si>
    <t>Rakiba</t>
  </si>
  <si>
    <t>Ratna</t>
  </si>
  <si>
    <t>Rusli</t>
  </si>
  <si>
    <t>Rosmida</t>
  </si>
  <si>
    <t>Subandi</t>
  </si>
  <si>
    <t>Sarona</t>
  </si>
  <si>
    <t>Somat</t>
  </si>
  <si>
    <t>Syamsuddin</t>
  </si>
  <si>
    <t>Sarmada</t>
  </si>
  <si>
    <t>Sofyan</t>
  </si>
  <si>
    <t>Salamah</t>
  </si>
  <si>
    <t>Saleha</t>
  </si>
  <si>
    <t>Subli</t>
  </si>
  <si>
    <t>Sarbani</t>
  </si>
  <si>
    <t>Samunar</t>
  </si>
  <si>
    <t>Suwan</t>
  </si>
  <si>
    <t>Siti Khomsiah</t>
  </si>
  <si>
    <t>Syafarudin</t>
  </si>
  <si>
    <t>Sopia</t>
  </si>
  <si>
    <t>Slamet Nurhamid</t>
  </si>
  <si>
    <t>Safariah</t>
  </si>
  <si>
    <t>Sayuti M</t>
  </si>
  <si>
    <t>Siti Patimah</t>
  </si>
  <si>
    <t>Sulaiman</t>
  </si>
  <si>
    <t>Tuti Alawiyah</t>
  </si>
  <si>
    <t>Zainal</t>
  </si>
  <si>
    <t>Zainab</t>
  </si>
  <si>
    <t>Mekar Abadi</t>
  </si>
  <si>
    <t>Anangcik</t>
  </si>
  <si>
    <t>Arahman</t>
  </si>
  <si>
    <t>Haliah</t>
  </si>
  <si>
    <t>Halima</t>
  </si>
  <si>
    <t>Musa</t>
  </si>
  <si>
    <t>Nilawati</t>
  </si>
  <si>
    <t>Nursia</t>
  </si>
  <si>
    <t>Patulo</t>
  </si>
  <si>
    <t>Rasani</t>
  </si>
  <si>
    <t>Rumaini</t>
  </si>
  <si>
    <t>Saama</t>
  </si>
  <si>
    <t>Samsul</t>
  </si>
  <si>
    <t>Samsuri</t>
  </si>
  <si>
    <t>Subagio</t>
  </si>
  <si>
    <t>Sugeng</t>
  </si>
  <si>
    <t>Suparno</t>
  </si>
  <si>
    <t>Suryani</t>
  </si>
  <si>
    <t>Tumiran</t>
  </si>
  <si>
    <t>Zaitun</t>
  </si>
  <si>
    <t>Bersama Jaya</t>
  </si>
  <si>
    <t>Ahmad AR</t>
  </si>
  <si>
    <t>Aina</t>
  </si>
  <si>
    <t>Tidak ada lahan dan modal</t>
  </si>
  <si>
    <t>Anisa</t>
  </si>
  <si>
    <t>tidak ada modal</t>
  </si>
  <si>
    <t>Asmara</t>
  </si>
  <si>
    <t>Asni</t>
  </si>
  <si>
    <t>Cik Yah</t>
  </si>
  <si>
    <t>Dewi</t>
  </si>
  <si>
    <t>Ernawati</t>
  </si>
  <si>
    <t>Halimah</t>
  </si>
  <si>
    <t>Hendri Yani</t>
  </si>
  <si>
    <t>Hermalinda</t>
  </si>
  <si>
    <t>Jalil</t>
  </si>
  <si>
    <t>Jangte</t>
  </si>
  <si>
    <t>Tidak ada Lahan</t>
  </si>
  <si>
    <t>Kusen</t>
  </si>
  <si>
    <t>Marnoto</t>
  </si>
  <si>
    <t>Tidak ada Modal</t>
  </si>
  <si>
    <t>Maryam</t>
  </si>
  <si>
    <t>Mastuna</t>
  </si>
  <si>
    <t>Missa ana</t>
  </si>
  <si>
    <t>Murlia</t>
  </si>
  <si>
    <t>Nona</t>
  </si>
  <si>
    <t>Sagap</t>
  </si>
  <si>
    <t>Tarmizi</t>
  </si>
  <si>
    <t>Salma</t>
  </si>
  <si>
    <t>Sambit</t>
  </si>
  <si>
    <t>Samsir</t>
  </si>
  <si>
    <t>Samsudin</t>
  </si>
  <si>
    <t>Uwaina</t>
  </si>
  <si>
    <t>Tidak ada lahan</t>
  </si>
  <si>
    <t>Zuraya</t>
  </si>
  <si>
    <t>Sido Muncul</t>
  </si>
  <si>
    <t>Mardiah</t>
  </si>
  <si>
    <t>Abu Bakar</t>
  </si>
  <si>
    <t>M. Dawi</t>
  </si>
  <si>
    <t>Ning Rumilah</t>
  </si>
  <si>
    <t>Misti</t>
  </si>
  <si>
    <t>Zainal Abidin</t>
  </si>
  <si>
    <t>Ning Rumlah</t>
  </si>
  <si>
    <t>Rosmilih</t>
  </si>
  <si>
    <t>M. Yani</t>
  </si>
  <si>
    <t>Abdul Somad</t>
  </si>
  <si>
    <t>Sakdiah</t>
  </si>
  <si>
    <t>M. Tarmizi</t>
  </si>
  <si>
    <t>Akmal</t>
  </si>
  <si>
    <t>Amrin</t>
  </si>
  <si>
    <t>Sanusi</t>
  </si>
  <si>
    <t>Amirudin</t>
  </si>
  <si>
    <t>Zaina</t>
  </si>
  <si>
    <t>Hindun</t>
  </si>
  <si>
    <t>Samsul Baidi</t>
  </si>
  <si>
    <t>0,50</t>
  </si>
  <si>
    <t>M. Yusuf</t>
  </si>
  <si>
    <t>Samsiah</t>
  </si>
  <si>
    <t>Rohana</t>
  </si>
  <si>
    <t>Jumiana</t>
  </si>
  <si>
    <t>Hamidi</t>
  </si>
  <si>
    <t>Jumila</t>
  </si>
  <si>
    <t>Mulya</t>
  </si>
  <si>
    <t>Kompak Besamo</t>
  </si>
  <si>
    <t>Samali</t>
  </si>
  <si>
    <t>Hatijah</t>
  </si>
  <si>
    <t>Pekcik</t>
  </si>
  <si>
    <t>Amri</t>
  </si>
  <si>
    <t>Darmawan</t>
  </si>
  <si>
    <t>Ermawati</t>
  </si>
  <si>
    <t>Adi Candra</t>
  </si>
  <si>
    <t>Bayu Oktavian</t>
  </si>
  <si>
    <t>Harun Al Rosid</t>
  </si>
  <si>
    <t>Syahril</t>
  </si>
  <si>
    <t>Patmawati</t>
  </si>
  <si>
    <t>Tunas Baru</t>
  </si>
  <si>
    <t>A. Gani</t>
  </si>
  <si>
    <t>Agus Priyadi</t>
  </si>
  <si>
    <t>Ahmad Lias</t>
  </si>
  <si>
    <t>Arba'a</t>
  </si>
  <si>
    <t>Baharun</t>
  </si>
  <si>
    <t>Dedy Setiawan</t>
  </si>
  <si>
    <t>Hamna</t>
  </si>
  <si>
    <t>Iliyas</t>
  </si>
  <si>
    <t>Imran Harun</t>
  </si>
  <si>
    <t>M. Ridwan</t>
  </si>
  <si>
    <t>M. Amin</t>
  </si>
  <si>
    <t>M. Saman</t>
  </si>
  <si>
    <t>Marbawi HM</t>
  </si>
  <si>
    <t>Marlita</t>
  </si>
  <si>
    <t>Muhammad K</t>
  </si>
  <si>
    <t>Nasir M</t>
  </si>
  <si>
    <t>Sabri Ismail</t>
  </si>
  <si>
    <t>Supandi</t>
  </si>
  <si>
    <t>Syamsia</t>
  </si>
  <si>
    <t>Widiawati</t>
  </si>
  <si>
    <t>Zulkarnain</t>
  </si>
  <si>
    <t>Sehati</t>
  </si>
  <si>
    <t>Ahmad Sanusi</t>
  </si>
  <si>
    <t>Amson Sapudin</t>
  </si>
  <si>
    <t>Azhari</t>
  </si>
  <si>
    <t>Bahasan</t>
  </si>
  <si>
    <t>Buhanuddin</t>
  </si>
  <si>
    <t>Firmansyah</t>
  </si>
  <si>
    <t>Havis</t>
  </si>
  <si>
    <t>Heri</t>
  </si>
  <si>
    <t>Jamel</t>
  </si>
  <si>
    <t>M. Musa</t>
  </si>
  <si>
    <t>M. Sayuti</t>
  </si>
  <si>
    <t>M. Isa</t>
  </si>
  <si>
    <t>Marfain</t>
  </si>
  <si>
    <t>Muhammad Amir</t>
  </si>
  <si>
    <t>Mustopa</t>
  </si>
  <si>
    <t>Nurbaiti</t>
  </si>
  <si>
    <t>Puspitasari</t>
  </si>
  <si>
    <t>Rahija</t>
  </si>
  <si>
    <t>Safrizal</t>
  </si>
  <si>
    <t>Sakila</t>
  </si>
  <si>
    <t>Saluma</t>
  </si>
  <si>
    <t>Siti Ara</t>
  </si>
  <si>
    <t>Yanti</t>
  </si>
  <si>
    <t>Yuhana</t>
  </si>
  <si>
    <t>Zainal Arifin</t>
  </si>
  <si>
    <t>Zainul Aiman</t>
  </si>
  <si>
    <t>Maju Basamo</t>
  </si>
  <si>
    <t>Aidi</t>
  </si>
  <si>
    <t>Asma AD</t>
  </si>
  <si>
    <t>Hambali</t>
  </si>
  <si>
    <t>Haryanti</t>
  </si>
  <si>
    <t>Jumiati</t>
  </si>
  <si>
    <t>Kaharudin Umar</t>
  </si>
  <si>
    <t>Kailani</t>
  </si>
  <si>
    <t>M. Sholeh</t>
  </si>
  <si>
    <t>Murtadi</t>
  </si>
  <si>
    <t>Nasrullah</t>
  </si>
  <si>
    <t>Rohani</t>
  </si>
  <si>
    <t>Rusinah</t>
  </si>
  <si>
    <t>Samsul Bahri</t>
  </si>
  <si>
    <t>Saptadi</t>
  </si>
  <si>
    <t>Sopiah</t>
  </si>
  <si>
    <t>Tegar</t>
  </si>
  <si>
    <t>A. Rahman</t>
  </si>
  <si>
    <t>Anita</t>
  </si>
  <si>
    <t>Asri</t>
  </si>
  <si>
    <t>Bachtiar</t>
  </si>
  <si>
    <t>Bahari</t>
  </si>
  <si>
    <t>Harun</t>
  </si>
  <si>
    <t>Juliana</t>
  </si>
  <si>
    <t>Leli Safitri</t>
  </si>
  <si>
    <t>M. Syarifuddin</t>
  </si>
  <si>
    <t>M. Yasin</t>
  </si>
  <si>
    <t>Maisarah</t>
  </si>
  <si>
    <t>Mukti</t>
  </si>
  <si>
    <t>Rasidah Sulaiman</t>
  </si>
  <si>
    <t>Rizal Marinsa</t>
  </si>
  <si>
    <t>Rokidah</t>
  </si>
  <si>
    <t>Rosida</t>
  </si>
  <si>
    <t>Sahrul</t>
  </si>
  <si>
    <t>Sarmini</t>
  </si>
  <si>
    <t>Sayuti</t>
  </si>
  <si>
    <t>Sukarti</t>
  </si>
  <si>
    <t>Taupik Kurahman</t>
  </si>
  <si>
    <t>Yunus</t>
  </si>
  <si>
    <t>Zahara</t>
  </si>
  <si>
    <t>Seiyo Sekato</t>
  </si>
  <si>
    <t>abdul aziz</t>
  </si>
  <si>
    <t>al amin</t>
  </si>
  <si>
    <t>anuarsadat</t>
  </si>
  <si>
    <t>asia</t>
  </si>
  <si>
    <t>asmadi</t>
  </si>
  <si>
    <t>azwan</t>
  </si>
  <si>
    <t>bakri</t>
  </si>
  <si>
    <t>halimah d</t>
  </si>
  <si>
    <t>islah</t>
  </si>
  <si>
    <t>jamila</t>
  </si>
  <si>
    <t>kailani</t>
  </si>
  <si>
    <t>kamrudin</t>
  </si>
  <si>
    <t>mahkoni</t>
  </si>
  <si>
    <t>nayla</t>
  </si>
  <si>
    <t>nilawati</t>
  </si>
  <si>
    <t>ramsiah</t>
  </si>
  <si>
    <t>rubaidillah</t>
  </si>
  <si>
    <t>rusdia</t>
  </si>
  <si>
    <t>saman</t>
  </si>
  <si>
    <t>samsudin</t>
  </si>
  <si>
    <t>sopwan</t>
  </si>
  <si>
    <t>Amanah</t>
  </si>
  <si>
    <t>Burhan</t>
  </si>
  <si>
    <t>M. Hasbi Roesli Shi</t>
  </si>
  <si>
    <t>Harapan Makmur</t>
  </si>
  <si>
    <t>Adi Hendra</t>
  </si>
  <si>
    <t>AHMAD HALIL</t>
  </si>
  <si>
    <t>Ali Azwar AB</t>
  </si>
  <si>
    <t>Dini Yudani</t>
  </si>
  <si>
    <t>Muslimin</t>
  </si>
  <si>
    <t>Nazarudin</t>
  </si>
  <si>
    <t>RUSDI</t>
  </si>
  <si>
    <t>Safarudin. H</t>
  </si>
  <si>
    <t>Syaifullah</t>
  </si>
  <si>
    <t>Wahyudi IS</t>
  </si>
  <si>
    <t>KWT Barokah</t>
  </si>
  <si>
    <t>Dahlia</t>
  </si>
  <si>
    <t>Dewi Sartika</t>
  </si>
  <si>
    <t>Eni Astuti</t>
  </si>
  <si>
    <t>Evi Yunita</t>
  </si>
  <si>
    <t>Fitriani</t>
  </si>
  <si>
    <t>Hanim Azmi</t>
  </si>
  <si>
    <t>Hoiriah</t>
  </si>
  <si>
    <t>Hukmiati</t>
  </si>
  <si>
    <t>Ida Susanti</t>
  </si>
  <si>
    <t>Mahdalena</t>
  </si>
  <si>
    <t>Mahliani</t>
  </si>
  <si>
    <t>Mulyati</t>
  </si>
  <si>
    <t>Muslimah</t>
  </si>
  <si>
    <t>Napisa</t>
  </si>
  <si>
    <t>Nuraini</t>
  </si>
  <si>
    <t>Nurma Yulita</t>
  </si>
  <si>
    <t>Parti Darwanisah</t>
  </si>
  <si>
    <t>Radiani</t>
  </si>
  <si>
    <t>Rina Wulandari</t>
  </si>
  <si>
    <t>Rina. M</t>
  </si>
  <si>
    <t>Riska Yuspita Sari</t>
  </si>
  <si>
    <t>Rosmawati Marpaung</t>
  </si>
  <si>
    <t>Saryani</t>
  </si>
  <si>
    <t>Titin Suhartini</t>
  </si>
  <si>
    <t>Wiwik Sumiatun</t>
  </si>
  <si>
    <t>KWT Sumber Rejeki</t>
  </si>
  <si>
    <t>ANI RAWATI</t>
  </si>
  <si>
    <t>JEMI ASNITA</t>
  </si>
  <si>
    <t>JUMINAH</t>
  </si>
  <si>
    <t>MARLINA</t>
  </si>
  <si>
    <t>MASTINA DERNIYETI</t>
  </si>
  <si>
    <t>NURDIANA</t>
  </si>
  <si>
    <t>SUADAH</t>
  </si>
  <si>
    <t>SUNARTI</t>
  </si>
  <si>
    <t>SYAMSUARNI</t>
  </si>
  <si>
    <t>YULIANTI</t>
  </si>
  <si>
    <t>Rengas Tunjang</t>
  </si>
  <si>
    <t>A. BESTI</t>
  </si>
  <si>
    <t>Ahmad Zaki</t>
  </si>
  <si>
    <t>ASRI</t>
  </si>
  <si>
    <t>BURHAN</t>
  </si>
  <si>
    <t>DARSONO</t>
  </si>
  <si>
    <t>PAHRUL ROZI</t>
  </si>
  <si>
    <t>IZHAR</t>
  </si>
  <si>
    <t>JAMHURI</t>
  </si>
  <si>
    <t>JAMILA</t>
  </si>
  <si>
    <t>JANGMONG</t>
  </si>
  <si>
    <t>M.MUZERI</t>
  </si>
  <si>
    <t>MUHAMMAD. AB</t>
  </si>
  <si>
    <t>MUKHSIN</t>
  </si>
  <si>
    <t>NURIDA</t>
  </si>
  <si>
    <t>PATAHILAH</t>
  </si>
  <si>
    <t>PAUZI</t>
  </si>
  <si>
    <t>RAAMAH</t>
  </si>
  <si>
    <t>RAMLI J</t>
  </si>
  <si>
    <t>0,75</t>
  </si>
  <si>
    <t>RUSLAN</t>
  </si>
  <si>
    <t>SAPRIADI</t>
  </si>
  <si>
    <t>SAYUTI</t>
  </si>
  <si>
    <t>SRI YANTO</t>
  </si>
  <si>
    <t>SUAIBA</t>
  </si>
  <si>
    <t>TURHAMIN</t>
  </si>
  <si>
    <t>WAHYUDI</t>
  </si>
  <si>
    <t>ZULKIFLI.S</t>
  </si>
  <si>
    <t>Sejahtera</t>
  </si>
  <si>
    <t>AMRUN. IB</t>
  </si>
  <si>
    <t>ANDI ISWANDI</t>
  </si>
  <si>
    <t>EKO PRASETYO</t>
  </si>
  <si>
    <t>FIRDAUS</t>
  </si>
  <si>
    <t>FITRIADI</t>
  </si>
  <si>
    <t>HASAN</t>
  </si>
  <si>
    <t>JUMARNO</t>
  </si>
  <si>
    <t>KASIDI</t>
  </si>
  <si>
    <t>M. FAUZI</t>
  </si>
  <si>
    <t>MAMAN</t>
  </si>
  <si>
    <t>Misdi</t>
  </si>
  <si>
    <t>MUHITH</t>
  </si>
  <si>
    <t>MURTIANA</t>
  </si>
  <si>
    <t>Nanang Prianto</t>
  </si>
  <si>
    <t>NGATEMIN</t>
  </si>
  <si>
    <t>NUR ROHIM</t>
  </si>
  <si>
    <t>RIAN IRAWAN</t>
  </si>
  <si>
    <t>ROZALI</t>
  </si>
  <si>
    <t>TARMANTO</t>
  </si>
  <si>
    <t>TARYONO</t>
  </si>
  <si>
    <t>TENTREM</t>
  </si>
  <si>
    <t>ZARNUJI</t>
  </si>
  <si>
    <t>Sidodadi</t>
  </si>
  <si>
    <t>Asmara Joni Anto</t>
  </si>
  <si>
    <t>Kasidi</t>
  </si>
  <si>
    <t>2,00</t>
  </si>
  <si>
    <t>Larjo</t>
  </si>
  <si>
    <t>Larto</t>
  </si>
  <si>
    <t>Leo Saputra</t>
  </si>
  <si>
    <t>Paijo</t>
  </si>
  <si>
    <t>Poirin</t>
  </si>
  <si>
    <t>PONIRAN</t>
  </si>
  <si>
    <t>Rudiono</t>
  </si>
  <si>
    <t>Sugiyanto</t>
  </si>
  <si>
    <t>Sumarji</t>
  </si>
  <si>
    <t>Sutarno</t>
  </si>
  <si>
    <t>Sutimin</t>
  </si>
  <si>
    <t>Zainul</t>
  </si>
  <si>
    <t>Sinar Tani</t>
  </si>
  <si>
    <t>A. Efendi</t>
  </si>
  <si>
    <t>A.Dani</t>
  </si>
  <si>
    <t>Al Husni</t>
  </si>
  <si>
    <t>Budianto</t>
  </si>
  <si>
    <t>Bustami</t>
  </si>
  <si>
    <t>Faizal</t>
  </si>
  <si>
    <t>Hari Mulyani</t>
  </si>
  <si>
    <t>Ibrahim</t>
  </si>
  <si>
    <t>Iwan Dyanto</t>
  </si>
  <si>
    <t>Iwan R</t>
  </si>
  <si>
    <t>Jaharudin</t>
  </si>
  <si>
    <t>Jamilah</t>
  </si>
  <si>
    <t>KHAFID AL IRSYAD</t>
  </si>
  <si>
    <t>Khafid Al Irsyad</t>
  </si>
  <si>
    <t>Lovi</t>
  </si>
  <si>
    <t>Maruli Harahap</t>
  </si>
  <si>
    <t>Muhammad Ali Imran</t>
  </si>
  <si>
    <t>Mukhlisin</t>
  </si>
  <si>
    <t>Nazran Khuzaini</t>
  </si>
  <si>
    <t>Sawaldi</t>
  </si>
  <si>
    <t>Sulman</t>
  </si>
  <si>
    <t>Sumanto</t>
  </si>
  <si>
    <t>Sumirah</t>
  </si>
  <si>
    <t>Sunardi</t>
  </si>
  <si>
    <t>Syahtinar</t>
  </si>
  <si>
    <t>Zazuri</t>
  </si>
  <si>
    <t>Zulkifli</t>
  </si>
  <si>
    <t>Jaya Bersama</t>
  </si>
  <si>
    <t>Abdul Latif</t>
  </si>
  <si>
    <t>Amrizal</t>
  </si>
  <si>
    <t>Bustomi</t>
  </si>
  <si>
    <t>Habiba</t>
  </si>
  <si>
    <t>Hilmi</t>
  </si>
  <si>
    <t>ISWADI</t>
  </si>
  <si>
    <t>Jahidi</t>
  </si>
  <si>
    <t>Jamaludin</t>
  </si>
  <si>
    <t>Jasmin</t>
  </si>
  <si>
    <t>Karyadi</t>
  </si>
  <si>
    <t>M. Amin HS</t>
  </si>
  <si>
    <t>M. Amin Sani</t>
  </si>
  <si>
    <t>Basit</t>
  </si>
  <si>
    <t>M. Hendri</t>
  </si>
  <si>
    <t>M.Suhur</t>
  </si>
  <si>
    <t>Maina</t>
  </si>
  <si>
    <t>Maryani</t>
  </si>
  <si>
    <t>Masli</t>
  </si>
  <si>
    <t>Mislamah</t>
  </si>
  <si>
    <t>Muhammad Basir</t>
  </si>
  <si>
    <t>Rusdianto</t>
  </si>
  <si>
    <t>Saharman</t>
  </si>
  <si>
    <t>Sarida</t>
  </si>
  <si>
    <t>Srihernowo</t>
  </si>
  <si>
    <t>Yusma</t>
  </si>
  <si>
    <t>Zaibun Nasah</t>
  </si>
  <si>
    <t>Karya Tani</t>
  </si>
  <si>
    <t>Ambo Upik</t>
  </si>
  <si>
    <t>Ami kusmiran</t>
  </si>
  <si>
    <t>arya kama reza</t>
  </si>
  <si>
    <t>Gimin</t>
  </si>
  <si>
    <t>Lamusuk</t>
  </si>
  <si>
    <t>Pahot Hutabarat</t>
  </si>
  <si>
    <t>Rede Yakup</t>
  </si>
  <si>
    <t>Robin Sinaga</t>
  </si>
  <si>
    <t>slamet sulaiman</t>
  </si>
  <si>
    <t>Sugiono</t>
  </si>
  <si>
    <t>sumiati</t>
  </si>
  <si>
    <t>Suwandi P</t>
  </si>
  <si>
    <t>suwito</t>
  </si>
  <si>
    <t>zaenal ari kusuma</t>
  </si>
  <si>
    <t>KWT Teladan Mandiri</t>
  </si>
  <si>
    <t>Adetia Wulandari</t>
  </si>
  <si>
    <t>Astina Sinaga</t>
  </si>
  <si>
    <t>Dayu Pramesti</t>
  </si>
  <si>
    <t>Fatimah</t>
  </si>
  <si>
    <t>Fitria</t>
  </si>
  <si>
    <t>Hikmawati</t>
  </si>
  <si>
    <t>Iffah</t>
  </si>
  <si>
    <t>Indo Ambang</t>
  </si>
  <si>
    <t>Julia Jatmika</t>
  </si>
  <si>
    <t>Marsiati</t>
  </si>
  <si>
    <t>Mawar Nedar Zebuar</t>
  </si>
  <si>
    <t>Meriani, S</t>
  </si>
  <si>
    <t>Nasbiati</t>
  </si>
  <si>
    <t>Nazoma</t>
  </si>
  <si>
    <t>Nur Kholifah</t>
  </si>
  <si>
    <t>Ratna Sinaga</t>
  </si>
  <si>
    <t>Rika Yusriani</t>
  </si>
  <si>
    <t>Rina Siregar</t>
  </si>
  <si>
    <t>siti khodijah</t>
  </si>
  <si>
    <t>Sugiyem</t>
  </si>
  <si>
    <t>Suhada</t>
  </si>
  <si>
    <t>Suminah</t>
  </si>
  <si>
    <t>Susi Susanti</t>
  </si>
  <si>
    <t>Susmiati</t>
  </si>
  <si>
    <t>Tri Astuti</t>
  </si>
  <si>
    <t>Ulfa Deprianty</t>
  </si>
  <si>
    <t>Yuni Sutri Wijayanti</t>
  </si>
  <si>
    <t>Maju Bahagia Bersama</t>
  </si>
  <si>
    <t>Ahmat Akbar</t>
  </si>
  <si>
    <t>Ardi Wiranata</t>
  </si>
  <si>
    <t>BUDIMAN</t>
  </si>
  <si>
    <t>Eef Notriawan</t>
  </si>
  <si>
    <t>Hemat</t>
  </si>
  <si>
    <t>Hermanto</t>
  </si>
  <si>
    <t>Ismil Yadi</t>
  </si>
  <si>
    <t>julian Heriadi</t>
  </si>
  <si>
    <t>Musanif Efendi</t>
  </si>
  <si>
    <t>Rudi Hartono</t>
  </si>
  <si>
    <t>Payo Pante</t>
  </si>
  <si>
    <t>A MANAP</t>
  </si>
  <si>
    <t>Hasan Syam</t>
  </si>
  <si>
    <t>Mustar</t>
  </si>
  <si>
    <t>Rogaya</t>
  </si>
  <si>
    <t>Uyub</t>
  </si>
  <si>
    <t>Tani Maju</t>
  </si>
  <si>
    <t>Abuzairin</t>
  </si>
  <si>
    <t>Bahtiar</t>
  </si>
  <si>
    <t>Hafizon</t>
  </si>
  <si>
    <t>Ismail Z</t>
  </si>
  <si>
    <t>M.Yunus</t>
  </si>
  <si>
    <t>Mahadi</t>
  </si>
  <si>
    <t>Maspina</t>
  </si>
  <si>
    <t>Sabro</t>
  </si>
  <si>
    <t>Salamiah</t>
  </si>
  <si>
    <t>Saugani</t>
  </si>
  <si>
    <t>Sulaiman, CM</t>
  </si>
  <si>
    <t>Umar Baki</t>
  </si>
  <si>
    <t>Berkah</t>
  </si>
  <si>
    <t>basir</t>
  </si>
  <si>
    <t>esah</t>
  </si>
  <si>
    <t>igawati</t>
  </si>
  <si>
    <t>mahidin</t>
  </si>
  <si>
    <t>mastur</t>
  </si>
  <si>
    <t>mukarromi</t>
  </si>
  <si>
    <t>rusmauswati</t>
  </si>
  <si>
    <t>zainal sun</t>
  </si>
  <si>
    <t>Bina Tani 08</t>
  </si>
  <si>
    <t>Fariah Salim</t>
  </si>
  <si>
    <t>Khaidir</t>
  </si>
  <si>
    <t>Nurliani</t>
  </si>
  <si>
    <t>RIF'AH SARIFAH</t>
  </si>
  <si>
    <t>Sahidah</t>
  </si>
  <si>
    <t>siti aisyah</t>
  </si>
  <si>
    <t>UUN SUHELI</t>
  </si>
  <si>
    <t>WARDI IRAWAN</t>
  </si>
  <si>
    <t>Zubaidah Zubet</t>
  </si>
  <si>
    <t>KWT Bting Beringin Jayo</t>
  </si>
  <si>
    <t>Azizah</t>
  </si>
  <si>
    <t>Ernalinda</t>
  </si>
  <si>
    <t>Hazami</t>
  </si>
  <si>
    <t>Juariah</t>
  </si>
  <si>
    <t>komariah</t>
  </si>
  <si>
    <t>Nurhayati</t>
  </si>
  <si>
    <t>Nursila</t>
  </si>
  <si>
    <t>Nurwati</t>
  </si>
  <si>
    <t>Padiah Salim</t>
  </si>
  <si>
    <t>Robiah</t>
  </si>
  <si>
    <t>Rodiah</t>
  </si>
  <si>
    <t>Rukiah</t>
  </si>
  <si>
    <t>Sakinah</t>
  </si>
  <si>
    <t>Siti Aisyah</t>
  </si>
  <si>
    <t>Sukmawati</t>
  </si>
  <si>
    <t>Suryana</t>
  </si>
  <si>
    <t>Syamsiah</t>
  </si>
  <si>
    <t>Warni</t>
  </si>
  <si>
    <t>Yusna</t>
  </si>
  <si>
    <t>Pesulingan</t>
  </si>
  <si>
    <t>abdul basit</t>
  </si>
  <si>
    <t>asnawi</t>
  </si>
  <si>
    <t>faizah</t>
  </si>
  <si>
    <t>fauzi mun</t>
  </si>
  <si>
    <t>H.A.Hamid</t>
  </si>
  <si>
    <t>ishak</t>
  </si>
  <si>
    <t>m.fauzi</t>
  </si>
  <si>
    <t>m.zuhdi</t>
  </si>
  <si>
    <t>maisura</t>
  </si>
  <si>
    <t>maryani</t>
  </si>
  <si>
    <t>maskur</t>
  </si>
  <si>
    <t>muhammad saman</t>
  </si>
  <si>
    <t>muhtar</t>
  </si>
  <si>
    <t>siti aminah</t>
  </si>
  <si>
    <t>Sakean Saung</t>
  </si>
  <si>
    <t>Ahmad syukur</t>
  </si>
  <si>
    <t>Edwar Sasmita</t>
  </si>
  <si>
    <t>Ilmiyah</t>
  </si>
  <si>
    <t>kholifah</t>
  </si>
  <si>
    <t>Rohmah</t>
  </si>
  <si>
    <t>Rokibah</t>
  </si>
  <si>
    <t>Rosita</t>
  </si>
  <si>
    <t>Roziah</t>
  </si>
  <si>
    <t>Syarbaini</t>
  </si>
  <si>
    <t>Usuludin</t>
  </si>
  <si>
    <t>Terusan Jaya</t>
  </si>
  <si>
    <t>Abdul Fuad</t>
  </si>
  <si>
    <t>Adnan HS</t>
  </si>
  <si>
    <t>Ahmad Mussadat</t>
  </si>
  <si>
    <t>Alkusairi</t>
  </si>
  <si>
    <t>Budi Setiawan</t>
  </si>
  <si>
    <t>Efendi</t>
  </si>
  <si>
    <t>Hanapiah</t>
  </si>
  <si>
    <t>Herianto</t>
  </si>
  <si>
    <t>Hermansyah</t>
  </si>
  <si>
    <t>Hipni</t>
  </si>
  <si>
    <t>Hirwanto</t>
  </si>
  <si>
    <t>Husaini</t>
  </si>
  <si>
    <t>Mahdi</t>
  </si>
  <si>
    <t>Muhsin</t>
  </si>
  <si>
    <t>Najib</t>
  </si>
  <si>
    <t>Nardin</t>
  </si>
  <si>
    <t>Ruslani</t>
  </si>
  <si>
    <t>Saipul</t>
  </si>
  <si>
    <t>Salahudin</t>
  </si>
  <si>
    <t>Supriadi</t>
  </si>
  <si>
    <t>Sutrianto</t>
  </si>
  <si>
    <t>zainal</t>
  </si>
  <si>
    <t>Terusan</t>
  </si>
  <si>
    <t>Adelin Sakti</t>
  </si>
  <si>
    <t>Adnan</t>
  </si>
  <si>
    <t>ahmad sukur</t>
  </si>
  <si>
    <t>darus salam</t>
  </si>
  <si>
    <t>Fauziah</t>
  </si>
  <si>
    <t>hanisa</t>
  </si>
  <si>
    <t>khomariah</t>
  </si>
  <si>
    <t>maimanah</t>
  </si>
  <si>
    <t>muslih</t>
  </si>
  <si>
    <t>Rina</t>
  </si>
  <si>
    <t>Sahida</t>
  </si>
  <si>
    <t>ulia</t>
  </si>
  <si>
    <t>zulkarnain</t>
  </si>
  <si>
    <t>Hijau Lestari</t>
  </si>
  <si>
    <t>Arizal</t>
  </si>
  <si>
    <t>Asmadi</t>
  </si>
  <si>
    <t>Badarudin</t>
  </si>
  <si>
    <t>Basirun</t>
  </si>
  <si>
    <t>Halik</t>
  </si>
  <si>
    <t>Hamdan</t>
  </si>
  <si>
    <t>Hasbi</t>
  </si>
  <si>
    <t>Heriyanto</t>
  </si>
  <si>
    <t>Herlambang</t>
  </si>
  <si>
    <t>Holil</t>
  </si>
  <si>
    <t>Jangcik</t>
  </si>
  <si>
    <t>Judit</t>
  </si>
  <si>
    <t>Juno</t>
  </si>
  <si>
    <t>M.Duis</t>
  </si>
  <si>
    <t>M.Isa</t>
  </si>
  <si>
    <t>Makmur</t>
  </si>
  <si>
    <t>Muhtar</t>
  </si>
  <si>
    <t>Mulyadi</t>
  </si>
  <si>
    <t>Nasir</t>
  </si>
  <si>
    <t>Nurhadi</t>
  </si>
  <si>
    <t>Pustani</t>
  </si>
  <si>
    <t>Rudi</t>
  </si>
  <si>
    <t>Sapri</t>
  </si>
  <si>
    <t>Selamet</t>
  </si>
  <si>
    <t>Usman Gumanti</t>
  </si>
  <si>
    <t>Kiat Bersama</t>
  </si>
  <si>
    <t>Alan</t>
  </si>
  <si>
    <t>Bawek</t>
  </si>
  <si>
    <t>Halija Ning</t>
  </si>
  <si>
    <t>Hamganti</t>
  </si>
  <si>
    <t>Harun Al Rasid</t>
  </si>
  <si>
    <t>Hasan</t>
  </si>
  <si>
    <t>Hasan Basri</t>
  </si>
  <si>
    <t>Indun</t>
  </si>
  <si>
    <t>Joni</t>
  </si>
  <si>
    <t>Jumadi</t>
  </si>
  <si>
    <t>Juman Darmansyah</t>
  </si>
  <si>
    <t>Khairan Ahmad</t>
  </si>
  <si>
    <t>Latif</t>
  </si>
  <si>
    <t>Mila</t>
  </si>
  <si>
    <t>Nurkholis</t>
  </si>
  <si>
    <t>Pendi</t>
  </si>
  <si>
    <t>Rahman Mong</t>
  </si>
  <si>
    <t>Said Muammar</t>
  </si>
  <si>
    <t>Sia</t>
  </si>
  <si>
    <t>Sutrisno</t>
  </si>
  <si>
    <t>Umar</t>
  </si>
  <si>
    <t>Maju Bersama</t>
  </si>
  <si>
    <t>ABD Azis</t>
  </si>
  <si>
    <t>Evendi</t>
  </si>
  <si>
    <t>Hendra</t>
  </si>
  <si>
    <t>Herman R</t>
  </si>
  <si>
    <t>Ibnu Hajar</t>
  </si>
  <si>
    <t>Novi Dahliawati</t>
  </si>
  <si>
    <t>Nurjanik</t>
  </si>
  <si>
    <t>Ramli</t>
  </si>
  <si>
    <t>Supriadi.Y</t>
  </si>
  <si>
    <t>Usaha Bersama</t>
  </si>
  <si>
    <t>Ahmad</t>
  </si>
  <si>
    <t>Ali</t>
  </si>
  <si>
    <t>Hamdani</t>
  </si>
  <si>
    <t>HUSIN</t>
  </si>
  <si>
    <t>Iman</t>
  </si>
  <si>
    <t>JAHARI</t>
  </si>
  <si>
    <t>M. DONG</t>
  </si>
  <si>
    <t>Manda</t>
  </si>
  <si>
    <t>Muhammad Jalil</t>
  </si>
  <si>
    <t>Pirdaus</t>
  </si>
  <si>
    <t>Romawi</t>
  </si>
  <si>
    <t>Samar Kandi</t>
  </si>
  <si>
    <t>Saparudin</t>
  </si>
  <si>
    <t>Solihin</t>
  </si>
  <si>
    <t>Sondi</t>
  </si>
  <si>
    <t>Sulhan</t>
  </si>
  <si>
    <t>Tamrin</t>
  </si>
  <si>
    <t>Harapan Baru</t>
  </si>
  <si>
    <t>Andri Adi</t>
  </si>
  <si>
    <t>Suyono</t>
  </si>
  <si>
    <t>KWT Berkah</t>
  </si>
  <si>
    <t>Arna Munama</t>
  </si>
  <si>
    <t>Husnah</t>
  </si>
  <si>
    <t>Ima Puspita</t>
  </si>
  <si>
    <t>Ledia</t>
  </si>
  <si>
    <t>Miftahul Jannah</t>
  </si>
  <si>
    <t>Paiga</t>
  </si>
  <si>
    <t>Siti Khodijah</t>
  </si>
  <si>
    <t>Sopi Nopriani</t>
  </si>
  <si>
    <t>Susilawati</t>
  </si>
  <si>
    <t>Ulya</t>
  </si>
  <si>
    <t>Alhadi</t>
  </si>
  <si>
    <t>Ari Padli</t>
  </si>
  <si>
    <t>Bujang Saada</t>
  </si>
  <si>
    <t>Muin</t>
  </si>
  <si>
    <t>Nasrun</t>
  </si>
  <si>
    <t>Sapar</t>
  </si>
  <si>
    <t>Sariman</t>
  </si>
  <si>
    <t>Tarudin</t>
  </si>
  <si>
    <t>Makmur Sejahtera</t>
  </si>
  <si>
    <t>Aspani</t>
  </si>
  <si>
    <t>Daud</t>
  </si>
  <si>
    <t>Hamid</t>
  </si>
  <si>
    <t>Safei</t>
  </si>
  <si>
    <t>sarpii</t>
  </si>
  <si>
    <t>Sinar Sabak</t>
  </si>
  <si>
    <t>Subro Muksin</t>
  </si>
  <si>
    <t>Usman</t>
  </si>
  <si>
    <t>yahya</t>
  </si>
  <si>
    <t>Olak Buluh</t>
  </si>
  <si>
    <t>Ali Asak</t>
  </si>
  <si>
    <t>Basiran</t>
  </si>
  <si>
    <t>Ermi Z</t>
  </si>
  <si>
    <t>Herdy Ferdinan Marezi</t>
  </si>
  <si>
    <t>Kadar</t>
  </si>
  <si>
    <t>Muhammad Haris</t>
  </si>
  <si>
    <t>Munawir</t>
  </si>
  <si>
    <t>Rasip</t>
  </si>
  <si>
    <t>Syahrial</t>
  </si>
  <si>
    <t>Taufik Abdul Rahman</t>
  </si>
  <si>
    <t>Serumpun Kemuning</t>
  </si>
  <si>
    <t>Deandra Yuandra</t>
  </si>
  <si>
    <t>Hanapi</t>
  </si>
  <si>
    <t>Kurnia Subhan</t>
  </si>
  <si>
    <t>M.Bakri</t>
  </si>
  <si>
    <t>Sepkianto</t>
  </si>
  <si>
    <t>Toha</t>
  </si>
  <si>
    <t>usman</t>
  </si>
  <si>
    <t>Uyun Abasdi</t>
  </si>
  <si>
    <t>Karya Mandiri</t>
  </si>
  <si>
    <t>BJ. Tarmizi</t>
  </si>
  <si>
    <t>Jauhari</t>
  </si>
  <si>
    <t>M. Kapi</t>
  </si>
  <si>
    <t>Mutasalin</t>
  </si>
  <si>
    <t>Nasri</t>
  </si>
  <si>
    <t>Saib</t>
  </si>
  <si>
    <t>Salam</t>
  </si>
  <si>
    <t>Syafriadi</t>
  </si>
  <si>
    <t>Wahab</t>
  </si>
  <si>
    <t>Zainudin</t>
  </si>
  <si>
    <t>Sinar Harapan</t>
  </si>
  <si>
    <t>Budi Hartono</t>
  </si>
  <si>
    <t>Hendra Ardiansyah</t>
  </si>
  <si>
    <t>ISMAIL</t>
  </si>
  <si>
    <t>JANGCIK</t>
  </si>
  <si>
    <t>MANSUR</t>
  </si>
  <si>
    <t>Saian</t>
  </si>
  <si>
    <t>Saib. S</t>
  </si>
  <si>
    <t>Sargawi</t>
  </si>
  <si>
    <t>SUHAIRI</t>
  </si>
  <si>
    <t>Sunarto</t>
  </si>
  <si>
    <t>Sutowo</t>
  </si>
  <si>
    <t>Cahaya Mulia</t>
  </si>
  <si>
    <t>Agus Ali</t>
  </si>
  <si>
    <t>Fahrurozi</t>
  </si>
  <si>
    <t>Hartono Parjo</t>
  </si>
  <si>
    <t>karyono</t>
  </si>
  <si>
    <t>Khusni Abimayu</t>
  </si>
  <si>
    <t>M.Nasir</t>
  </si>
  <si>
    <t>Martono Supardi</t>
  </si>
  <si>
    <t>Misran</t>
  </si>
  <si>
    <t>Muhroji</t>
  </si>
  <si>
    <t>Sarbu</t>
  </si>
  <si>
    <t>Suryanto</t>
  </si>
  <si>
    <t>Sutarman</t>
  </si>
  <si>
    <t>KWT Seroja</t>
  </si>
  <si>
    <t>Defi Musdariah</t>
  </si>
  <si>
    <t>EVA MUSTIKA</t>
  </si>
  <si>
    <t>FATMA</t>
  </si>
  <si>
    <t>Hartati</t>
  </si>
  <si>
    <t>JUNAIDA</t>
  </si>
  <si>
    <t>MUNINA</t>
  </si>
  <si>
    <t>RISNAINI</t>
  </si>
  <si>
    <t>SITI AISYAH</t>
  </si>
  <si>
    <t>SRI WAHYUNI</t>
  </si>
  <si>
    <t>SULASTRI</t>
  </si>
  <si>
    <t>Maju Jaya</t>
  </si>
  <si>
    <t>ANTO PRIYONO</t>
  </si>
  <si>
    <t>ASHARI</t>
  </si>
  <si>
    <t>Badrudin</t>
  </si>
  <si>
    <t>Miftahul Huda</t>
  </si>
  <si>
    <t>Ngadirun</t>
  </si>
  <si>
    <t>Nursidik</t>
  </si>
  <si>
    <t>SAKRONI</t>
  </si>
  <si>
    <t>Sohibin</t>
  </si>
  <si>
    <t>SUPAWIT</t>
  </si>
  <si>
    <t>TRI WIDODO</t>
  </si>
  <si>
    <t>URIP</t>
  </si>
  <si>
    <t>Mengkuang Belayar</t>
  </si>
  <si>
    <t>Abdurahman</t>
  </si>
  <si>
    <t>Amsar</t>
  </si>
  <si>
    <t>Anang</t>
  </si>
  <si>
    <t>Anif Teguh Muslimin</t>
  </si>
  <si>
    <t>Aria Wandaru</t>
  </si>
  <si>
    <t>Basino</t>
  </si>
  <si>
    <t>Budi Samsul Arifin</t>
  </si>
  <si>
    <t>Budiman</t>
  </si>
  <si>
    <t>Gunawan Wibisono</t>
  </si>
  <si>
    <t>Iskak</t>
  </si>
  <si>
    <t>M. Bisri</t>
  </si>
  <si>
    <t>Maikomeri</t>
  </si>
  <si>
    <t>Mustakim</t>
  </si>
  <si>
    <t>Mustar Kusuma Atmaja</t>
  </si>
  <si>
    <t>Najirin</t>
  </si>
  <si>
    <t>Nasiman</t>
  </si>
  <si>
    <t>Ngadirin</t>
  </si>
  <si>
    <t>Nuryani</t>
  </si>
  <si>
    <t>Ponirin</t>
  </si>
  <si>
    <t>Puryono</t>
  </si>
  <si>
    <t>Sahril</t>
  </si>
  <si>
    <t>Satinem</t>
  </si>
  <si>
    <t>Sugiarto</t>
  </si>
  <si>
    <t>Surip</t>
  </si>
  <si>
    <t>Suwarno</t>
  </si>
  <si>
    <t>ABDUL LATIF</t>
  </si>
  <si>
    <t>AISAH</t>
  </si>
  <si>
    <t>FAUZI</t>
  </si>
  <si>
    <t>M. BASID</t>
  </si>
  <si>
    <t>M. YUNUS,</t>
  </si>
  <si>
    <t>M.SANI</t>
  </si>
  <si>
    <t>MAHMUD</t>
  </si>
  <si>
    <t>Mahsari</t>
  </si>
  <si>
    <t>MAJID</t>
  </si>
  <si>
    <t>MASLINA</t>
  </si>
  <si>
    <t>MISNO</t>
  </si>
  <si>
    <t>MISWANTO</t>
  </si>
  <si>
    <t>Muhammad Hozin</t>
  </si>
  <si>
    <t>Nadia</t>
  </si>
  <si>
    <t>NASIR</t>
  </si>
  <si>
    <t>PAIMAN</t>
  </si>
  <si>
    <t>Sapinah</t>
  </si>
  <si>
    <t>Saringat</t>
  </si>
  <si>
    <t>SUHAIMI</t>
  </si>
  <si>
    <t>Sukirman</t>
  </si>
  <si>
    <t>Sungai Rengas</t>
  </si>
  <si>
    <t>Abdul Wahab</t>
  </si>
  <si>
    <t>Achmad Yani</t>
  </si>
  <si>
    <t>Ainun</t>
  </si>
  <si>
    <t>AL BUHRI</t>
  </si>
  <si>
    <t>ARIFIN</t>
  </si>
  <si>
    <t>Ayub</t>
  </si>
  <si>
    <t>Darmawati</t>
  </si>
  <si>
    <t>DODI ASMARA</t>
  </si>
  <si>
    <t>DWIKI DARMAWAN</t>
  </si>
  <si>
    <t>FAHMI</t>
  </si>
  <si>
    <t>FATIMAH</t>
  </si>
  <si>
    <t>Firdawati</t>
  </si>
  <si>
    <t>Gianto</t>
  </si>
  <si>
    <t>Halami</t>
  </si>
  <si>
    <t>IQBAL</t>
  </si>
  <si>
    <t>Jariah</t>
  </si>
  <si>
    <t>M iqbal AlMaisir</t>
  </si>
  <si>
    <t>Mazani</t>
  </si>
  <si>
    <t>Mulyono</t>
  </si>
  <si>
    <t>MURAJI</t>
  </si>
  <si>
    <t>Nujma</t>
  </si>
  <si>
    <t>Poniman</t>
  </si>
  <si>
    <t>RUDI AFFANDI</t>
  </si>
  <si>
    <t>SAFI'I</t>
  </si>
  <si>
    <t>SAKDIA</t>
  </si>
  <si>
    <t>Siti Maimunah</t>
  </si>
  <si>
    <t>SUAIDI</t>
  </si>
  <si>
    <t>SUBHAN BAIHAKI</t>
  </si>
  <si>
    <t>SUMANTRI</t>
  </si>
  <si>
    <t>Sumeri</t>
  </si>
  <si>
    <t>Suparmi</t>
  </si>
  <si>
    <t>Wagino</t>
  </si>
  <si>
    <t>Zulyadaini</t>
  </si>
  <si>
    <t>Barokah Sejahtera</t>
  </si>
  <si>
    <t>Agus Saman</t>
  </si>
  <si>
    <t>Asma</t>
  </si>
  <si>
    <t>Asmada</t>
  </si>
  <si>
    <t>Azima</t>
  </si>
  <si>
    <t>Irfan</t>
  </si>
  <si>
    <t>Jamhur</t>
  </si>
  <si>
    <t>Juriah</t>
  </si>
  <si>
    <t>M. Sariro</t>
  </si>
  <si>
    <t>Muslim R</t>
  </si>
  <si>
    <t>Mustari</t>
  </si>
  <si>
    <t>SAFARUDIN</t>
  </si>
  <si>
    <t>Sujarwo</t>
  </si>
  <si>
    <t>Uliah</t>
  </si>
  <si>
    <t>Abdullah</t>
  </si>
  <si>
    <t>Arbia</t>
  </si>
  <si>
    <t>Huriyani</t>
  </si>
  <si>
    <t>Isti Mulyono</t>
  </si>
  <si>
    <t>Jamadi</t>
  </si>
  <si>
    <t>Jamani</t>
  </si>
  <si>
    <t>M. Yazid Ismail</t>
  </si>
  <si>
    <t>Mustar Hami</t>
  </si>
  <si>
    <t>Siti Aji</t>
  </si>
  <si>
    <t>Urizal</t>
  </si>
  <si>
    <t>Zakaria</t>
  </si>
  <si>
    <t>Lopak Sepang</t>
  </si>
  <si>
    <t>AGUSTINA</t>
  </si>
  <si>
    <t>Ali Hasan</t>
  </si>
  <si>
    <t>ARIF LUKMAN</t>
  </si>
  <si>
    <t>ASNI</t>
  </si>
  <si>
    <t>Ilyas</t>
  </si>
  <si>
    <t>ISHAK</t>
  </si>
  <si>
    <t>JAMIDAH</t>
  </si>
  <si>
    <t>Kusnadi</t>
  </si>
  <si>
    <t>Marzuk</t>
  </si>
  <si>
    <t>MEGAWATI</t>
  </si>
  <si>
    <t>MUHAMMAD G</t>
  </si>
  <si>
    <t>NAPSIA</t>
  </si>
  <si>
    <t>PURYONO</t>
  </si>
  <si>
    <t>ROGAYA</t>
  </si>
  <si>
    <t>Saturia</t>
  </si>
  <si>
    <t>SURYANI</t>
  </si>
  <si>
    <t>TIMA</t>
  </si>
  <si>
    <t>ULUL AZMI</t>
  </si>
  <si>
    <t>Yahya</t>
  </si>
  <si>
    <t>YASIN</t>
  </si>
  <si>
    <t>Yatim</t>
  </si>
  <si>
    <t>ZUBAIDAH</t>
  </si>
  <si>
    <t>ADIANA</t>
  </si>
  <si>
    <t>Ahmadi</t>
  </si>
  <si>
    <t>ASTIAH</t>
  </si>
  <si>
    <t>AYUB</t>
  </si>
  <si>
    <t>DAHLAN S</t>
  </si>
  <si>
    <t>HASANAH</t>
  </si>
  <si>
    <t>JARKONI</t>
  </si>
  <si>
    <t>JUAWAIDA</t>
  </si>
  <si>
    <t>M. YAZID ISMAIL</t>
  </si>
  <si>
    <t>MUALIMIN</t>
  </si>
  <si>
    <t>PERA WATI</t>
  </si>
  <si>
    <t>ROSLAWATI</t>
  </si>
  <si>
    <t>SAHARA</t>
  </si>
  <si>
    <t>SANIA</t>
  </si>
  <si>
    <t>UMAR HASAN</t>
  </si>
  <si>
    <t>zailani</t>
  </si>
  <si>
    <t>Arnadi</t>
  </si>
  <si>
    <t>Heriyanto Sembiring</t>
  </si>
  <si>
    <t>Jamiludin</t>
  </si>
  <si>
    <t>Lilur</t>
  </si>
  <si>
    <t>Mujiono</t>
  </si>
  <si>
    <t>Mujito</t>
  </si>
  <si>
    <t>Muntamah</t>
  </si>
  <si>
    <t>Panut</t>
  </si>
  <si>
    <t>Romalus</t>
  </si>
  <si>
    <t>Sakiman</t>
  </si>
  <si>
    <t>Sarino</t>
  </si>
  <si>
    <t>Sugino</t>
  </si>
  <si>
    <t>Sutiono</t>
  </si>
  <si>
    <t>Wagiman</t>
  </si>
  <si>
    <t>Yanto</t>
  </si>
  <si>
    <t>Embun Pagi</t>
  </si>
  <si>
    <t>AHMAD SYAPRI</t>
  </si>
  <si>
    <t>ARBA'A</t>
  </si>
  <si>
    <t>DAHLAN</t>
  </si>
  <si>
    <t>HAPIS</t>
  </si>
  <si>
    <t>hodija</t>
  </si>
  <si>
    <t>Muhammad</t>
  </si>
  <si>
    <t>MUHTAR</t>
  </si>
  <si>
    <t>MUSA</t>
  </si>
  <si>
    <t>RUMNAH</t>
  </si>
  <si>
    <t>Ruslan S</t>
  </si>
  <si>
    <t>SAKNUYA</t>
  </si>
  <si>
    <t>SAMUDRA</t>
  </si>
  <si>
    <t>SAPAWI</t>
  </si>
  <si>
    <t>SAPRIYADI</t>
  </si>
  <si>
    <t>SAWAL</t>
  </si>
  <si>
    <t>TRI MURDIYANTO</t>
  </si>
  <si>
    <t>Yusnidar</t>
  </si>
  <si>
    <t>ZAITUN</t>
  </si>
  <si>
    <t>Agus</t>
  </si>
  <si>
    <t>Agus Jefrianto</t>
  </si>
  <si>
    <t>AHMAD T</t>
  </si>
  <si>
    <t>AIMAN</t>
  </si>
  <si>
    <t>Aryadi</t>
  </si>
  <si>
    <t>ATIK</t>
  </si>
  <si>
    <t>AYANA</t>
  </si>
  <si>
    <t>Bayati</t>
  </si>
  <si>
    <t>Bujang Suli</t>
  </si>
  <si>
    <t>Darmawi</t>
  </si>
  <si>
    <t>HAMIDI</t>
  </si>
  <si>
    <t>Hasim</t>
  </si>
  <si>
    <t>IDRUS</t>
  </si>
  <si>
    <t>IHSAN M SABLI</t>
  </si>
  <si>
    <t>JUAIRIA</t>
  </si>
  <si>
    <t>KADIR ANWAR</t>
  </si>
  <si>
    <t>Mainah</t>
  </si>
  <si>
    <t>Marbawi</t>
  </si>
  <si>
    <t>MARLENI</t>
  </si>
  <si>
    <t>MASTURA</t>
  </si>
  <si>
    <t>MINHAR</t>
  </si>
  <si>
    <t>Mullazi</t>
  </si>
  <si>
    <t>Naima</t>
  </si>
  <si>
    <t>RUSMIATI</t>
  </si>
  <si>
    <t>RUSNA</t>
  </si>
  <si>
    <t>Sahroni</t>
  </si>
  <si>
    <t>Saiman</t>
  </si>
  <si>
    <t>Siti Hawa</t>
  </si>
  <si>
    <t>Suaidi. Z</t>
  </si>
  <si>
    <t>Suhardi</t>
  </si>
  <si>
    <t>Sumarni</t>
  </si>
  <si>
    <t>UYUB</t>
  </si>
  <si>
    <t>YULIANA</t>
  </si>
  <si>
    <t>Zulyaden</t>
  </si>
  <si>
    <t>Sebapo</t>
  </si>
  <si>
    <t>Muda Maju Bersama</t>
  </si>
  <si>
    <t>Jumangin</t>
  </si>
  <si>
    <t>2,2</t>
  </si>
  <si>
    <t>Syarifuddin Tirtana</t>
  </si>
  <si>
    <t>Nurcholis</t>
  </si>
  <si>
    <t>Badriyah</t>
  </si>
  <si>
    <t>Jumiran</t>
  </si>
  <si>
    <t>Muhlisin</t>
  </si>
  <si>
    <t xml:space="preserve">DATA BRIGADE PANGAN
KABUPATEN MUARO JAMBI
</t>
  </si>
  <si>
    <t>Nama Brigade Pangan</t>
  </si>
  <si>
    <t>Desa yang diampu</t>
  </si>
  <si>
    <t>Nama peserta</t>
  </si>
  <si>
    <t>Umur peserta Brigade</t>
  </si>
  <si>
    <t>Pendidikan (SD,SMP,SMA,S1)</t>
  </si>
  <si>
    <t xml:space="preserve">Insentif </t>
  </si>
  <si>
    <t>APBD</t>
  </si>
  <si>
    <t>APBN</t>
  </si>
  <si>
    <t>Hibah</t>
  </si>
  <si>
    <t>Bansos</t>
  </si>
  <si>
    <t xml:space="preserve">Jenis Alsintan </t>
  </si>
  <si>
    <t>Pendampingan teknologi</t>
  </si>
  <si>
    <t>Akses lahan</t>
  </si>
  <si>
    <t>Taman Cahaya Makmur</t>
  </si>
  <si>
    <t>Gusdur Kirahman</t>
  </si>
  <si>
    <t>S1</t>
  </si>
  <si>
    <t>TR 4</t>
  </si>
  <si>
    <t>Laptop</t>
  </si>
  <si>
    <t>Hidayah Turrahman</t>
  </si>
  <si>
    <t>SMA</t>
  </si>
  <si>
    <t>TR 2</t>
  </si>
  <si>
    <t>Printer</t>
  </si>
  <si>
    <t>Dwiki Darmawan</t>
  </si>
  <si>
    <t>Combine Hrvester</t>
  </si>
  <si>
    <t>Azwan</t>
  </si>
  <si>
    <t>Pompa Air</t>
  </si>
  <si>
    <t>Azshari</t>
  </si>
  <si>
    <t>Crawler</t>
  </si>
  <si>
    <t>Citra Dita Sulistia</t>
  </si>
  <si>
    <t>Sepatu Bot</t>
  </si>
  <si>
    <t xml:space="preserve">Eva Mustika </t>
  </si>
  <si>
    <t>Topi</t>
  </si>
  <si>
    <t>Fathul Arief</t>
  </si>
  <si>
    <t>M. Fadlan Afif</t>
  </si>
  <si>
    <t>Makmun Hadi</t>
  </si>
  <si>
    <t>Misno</t>
  </si>
  <si>
    <t>Sholeh</t>
  </si>
  <si>
    <t>Siti Kholijah</t>
  </si>
  <si>
    <t>Sumantri</t>
  </si>
  <si>
    <t>Sudirman</t>
  </si>
  <si>
    <t>D III</t>
  </si>
  <si>
    <t>Agro Jaya Pudak</t>
  </si>
  <si>
    <t>Pudak, Muara Kumpeh, Sungai Terap, Teluk Raya, Pemunduran</t>
  </si>
  <si>
    <t>Adi Ardiansah</t>
  </si>
  <si>
    <t>191,4</t>
  </si>
  <si>
    <t>TR4</t>
  </si>
  <si>
    <t>Novita Sahara</t>
  </si>
  <si>
    <t>SI</t>
  </si>
  <si>
    <t>TR2</t>
  </si>
  <si>
    <t>Okti Friyanto</t>
  </si>
  <si>
    <t>Rindi Agustian</t>
  </si>
  <si>
    <t>Combine Harvester Besar</t>
  </si>
  <si>
    <t>Eri Hendriana</t>
  </si>
  <si>
    <t>SMP</t>
  </si>
  <si>
    <t>PC Notebook</t>
  </si>
  <si>
    <t>KMS Rozi</t>
  </si>
  <si>
    <t>Halim Frimansyah</t>
  </si>
  <si>
    <t>Dikki Defriansyah</t>
  </si>
  <si>
    <t>Dedy</t>
  </si>
  <si>
    <t>Sawaludin</t>
  </si>
  <si>
    <t>SD</t>
  </si>
  <si>
    <t>M Supardi</t>
  </si>
  <si>
    <t>Raden Mustafa Kamal</t>
  </si>
  <si>
    <t>Edy Padi</t>
  </si>
  <si>
    <t>Si</t>
  </si>
  <si>
    <t>Frimansyah</t>
  </si>
  <si>
    <t>M Akbar Putra Pramudya</t>
  </si>
  <si>
    <t>Berembang Makmur</t>
  </si>
  <si>
    <t>Nanang Triyanto</t>
  </si>
  <si>
    <t xml:space="preserve">•	Traktor Roda 4
•	Rice Planter
•	Handsprayer
•	Pompa AirCombine Harvester
</t>
  </si>
  <si>
    <t>Herdiansyah</t>
  </si>
  <si>
    <t>Siti Maghfiroh</t>
  </si>
  <si>
    <t>Combine hervester</t>
  </si>
  <si>
    <t>Sarnaidi</t>
  </si>
  <si>
    <t>Mourdani</t>
  </si>
  <si>
    <t xml:space="preserve">Adam </t>
  </si>
  <si>
    <t>M. Yonson</t>
  </si>
  <si>
    <t>Suyanto</t>
  </si>
  <si>
    <t>Riduansyah</t>
  </si>
  <si>
    <t>Weli Agustin</t>
  </si>
  <si>
    <t>Siti Cholijah</t>
  </si>
  <si>
    <t>Sarina</t>
  </si>
  <si>
    <t>Tumila</t>
  </si>
  <si>
    <t>Adi Saputra</t>
  </si>
  <si>
    <t>Ade Irawan</t>
  </si>
  <si>
    <t>Bayu Amar Setiawan</t>
  </si>
  <si>
    <t>Pudak Lentera Milenial</t>
  </si>
  <si>
    <t>Pudak, Muara Kumpeh, Kota Karang, Sumber Jaya, Sipin Teluk Duren dan Teluk Raya</t>
  </si>
  <si>
    <t>ADI SAPUTRA</t>
  </si>
  <si>
    <t>PUDAK, 12-5-2000</t>
  </si>
  <si>
    <t>ADITIA</t>
  </si>
  <si>
    <t>JAMBI, 27-9-1998</t>
  </si>
  <si>
    <t>SAM</t>
  </si>
  <si>
    <t>AGUS PURWANTO</t>
  </si>
  <si>
    <t>PUDAK, 1-1-1989</t>
  </si>
  <si>
    <t>ARIF FRIYANTO</t>
  </si>
  <si>
    <t>JAMBI, 6-7-1989</t>
  </si>
  <si>
    <t>ARIF MUBAIDAH</t>
  </si>
  <si>
    <t>PUDAK, 5-11-1996</t>
  </si>
  <si>
    <t>DENI RIKI AFRIANTO</t>
  </si>
  <si>
    <t>JAMBI, 28-8-1996</t>
  </si>
  <si>
    <t>EKA TUSRIANA</t>
  </si>
  <si>
    <t>JAMBI, 15-8-1997</t>
  </si>
  <si>
    <t>ERWANTO</t>
  </si>
  <si>
    <t>JAMBI, 28-8-1987</t>
  </si>
  <si>
    <t>M. FARHAN MAHENDRA SURI</t>
  </si>
  <si>
    <t>PALEMBANG, 2-5-2001</t>
  </si>
  <si>
    <t>RANI FITRIANI</t>
  </si>
  <si>
    <t>JAMBI, 9-1-2000</t>
  </si>
  <si>
    <t>RENDRAWAN BUDI SAYEKTI</t>
  </si>
  <si>
    <t>JAMBI, 15-7-2001</t>
  </si>
  <si>
    <t>SAGITA PRATMANA</t>
  </si>
  <si>
    <t>KEBUMEN, 21-3-1995</t>
  </si>
  <si>
    <t>SARWOKO</t>
  </si>
  <si>
    <t>JAMBI, 14-1-1977</t>
  </si>
  <si>
    <t>YAYUK PURWANTI</t>
  </si>
  <si>
    <t>RAWA PUDAK, 5-6-1986</t>
  </si>
  <si>
    <t>08 Besodaro</t>
  </si>
  <si>
    <t>Desa Rengas Bandung</t>
  </si>
  <si>
    <t>ZULKIPLI</t>
  </si>
  <si>
    <t>62,37</t>
  </si>
  <si>
    <t>LAPTOP</t>
  </si>
  <si>
    <t>PURWANDI</t>
  </si>
  <si>
    <t>RICE TRANPLANTER</t>
  </si>
  <si>
    <t>PRINTER</t>
  </si>
  <si>
    <t>PUSPITA SARI</t>
  </si>
  <si>
    <t>POMPA AIR</t>
  </si>
  <si>
    <t>AGUNG MAULANA</t>
  </si>
  <si>
    <t>HANDSPRAYER</t>
  </si>
  <si>
    <t>ARIF WAHYUDI</t>
  </si>
  <si>
    <t>COMBINE HARVESTER BESAR</t>
  </si>
  <si>
    <t>EDI PRIADI</t>
  </si>
  <si>
    <t>FAHRUR ROZI</t>
  </si>
  <si>
    <t>INDRA WANSA PUTRA</t>
  </si>
  <si>
    <t>MIEAD NIEY</t>
  </si>
  <si>
    <t>NASRULLAH</t>
  </si>
  <si>
    <t>PAHRUL ANWAR</t>
  </si>
  <si>
    <t>RIKI SAPUTRA</t>
  </si>
  <si>
    <t>ROBBI TIANHURI</t>
  </si>
  <si>
    <t>SAFRI ARIGA</t>
  </si>
  <si>
    <t>SUPRIADI</t>
  </si>
  <si>
    <t xml:space="preserve">DATA PETANI MILENIAL (TIDAK MASUK BRIGADE PANGAN)
KABUPATEN MUARO JAMBI
</t>
  </si>
  <si>
    <t>Umur Petan (Tahun)</t>
  </si>
  <si>
    <t xml:space="preserve">Luas Areal Tanam </t>
  </si>
  <si>
    <t>Satuan (tumbuk/m2/Ha)</t>
  </si>
  <si>
    <t>Jenis Tanaman Pangan/Hortikultura yang ditanam</t>
  </si>
  <si>
    <t>Akses Permodalan</t>
  </si>
  <si>
    <t>Estimasi Pendapatan</t>
  </si>
  <si>
    <t xml:space="preserve">Hambatan </t>
  </si>
  <si>
    <t>Ha</t>
  </si>
  <si>
    <t>Padi</t>
  </si>
  <si>
    <t>Lahan baru dibuka</t>
  </si>
  <si>
    <t>Jagung</t>
  </si>
  <si>
    <t>Alsintan yang terbatas dalam pengolahan lahan</t>
  </si>
  <si>
    <t>Modal yang terbatas</t>
  </si>
  <si>
    <t>Wahyudi</t>
  </si>
  <si>
    <t>D3</t>
  </si>
  <si>
    <t>Cabai</t>
  </si>
  <si>
    <t>Pribadi</t>
  </si>
  <si>
    <t>Tengkulak, Konsumen Langsung</t>
  </si>
  <si>
    <t>5jt/bln</t>
  </si>
  <si>
    <t>Hama Penyakit, Banjir</t>
  </si>
  <si>
    <t>Rocky</t>
  </si>
  <si>
    <t>Ha.</t>
  </si>
  <si>
    <t>swadaya</t>
  </si>
  <si>
    <t>jual langsung keperusahaan peternak ayam petelur</t>
  </si>
  <si>
    <t>Nurpriyanto</t>
  </si>
  <si>
    <t>Swadaya</t>
  </si>
  <si>
    <t>jual ke tengkulak</t>
  </si>
  <si>
    <t>Alsintan yang terbatas, modal terbatas, lahan numpang</t>
  </si>
  <si>
    <t>M. Khoirul Anam</t>
  </si>
  <si>
    <t>Alsintan yang terbatas, modal yang terbatas, Lahan Menumpang</t>
  </si>
  <si>
    <t>Andri Santoso</t>
  </si>
  <si>
    <t>Alsintan dan modal yang terbatas</t>
  </si>
  <si>
    <t>Julian Anggara</t>
  </si>
  <si>
    <t>Dedi Tri Setiawan</t>
  </si>
  <si>
    <t>Perkebunan Karet</t>
  </si>
  <si>
    <t>Penyakit JAP, harga rendah</t>
  </si>
  <si>
    <t>Puji Susanto</t>
  </si>
  <si>
    <t>Irfan Febrian</t>
  </si>
  <si>
    <t>SMK</t>
  </si>
  <si>
    <t>0,1</t>
  </si>
  <si>
    <t>Hidroponik Sawi, Pakcoy, Seledri</t>
  </si>
  <si>
    <t>Modal Yang Terbatas</t>
  </si>
  <si>
    <t>Selame5t Witono</t>
  </si>
  <si>
    <t>Cabai, terong, Kacang panjang</t>
  </si>
  <si>
    <t>Jual langsung kepasar Induk</t>
  </si>
  <si>
    <t>15 Jt perbulan</t>
  </si>
  <si>
    <t>Edi Handoko</t>
  </si>
  <si>
    <t>Cabai dan sayuran lainnya</t>
  </si>
  <si>
    <t>Jual ke tengkulak</t>
  </si>
  <si>
    <t>6 Juta perbulan</t>
  </si>
  <si>
    <t>Kekurangan modal</t>
  </si>
  <si>
    <t>M Afif Al Khoir</t>
  </si>
  <si>
    <t>1,5</t>
  </si>
  <si>
    <t>ha</t>
  </si>
  <si>
    <t>Nenas</t>
  </si>
  <si>
    <t>Jual ke pasar</t>
  </si>
  <si>
    <t>5 juta/bln</t>
  </si>
  <si>
    <t>pasar modern</t>
  </si>
  <si>
    <t>Amirullah</t>
  </si>
  <si>
    <t>Jual ke pedagang antar daerah</t>
  </si>
  <si>
    <t>8 jt/bln</t>
  </si>
  <si>
    <t>Kendaraan roda 4</t>
  </si>
  <si>
    <t>Deni Kusnandar</t>
  </si>
  <si>
    <t>SMU</t>
  </si>
  <si>
    <t>Pepaya</t>
  </si>
  <si>
    <t>Swadata</t>
  </si>
  <si>
    <t>3 jt/bln</t>
  </si>
  <si>
    <t>Penyakit pepaya, pasar modern</t>
  </si>
  <si>
    <t>Afrigen, S.ST</t>
  </si>
  <si>
    <t>Mujtahidul Ikhlas, A.Md. Vet</t>
  </si>
  <si>
    <t>Prata Wibowo, S.P</t>
  </si>
  <si>
    <t>Neni Isneini, S.P</t>
  </si>
  <si>
    <t>Junus Sihombing, S.P</t>
  </si>
  <si>
    <t>Mahili Fahmi, S.Pi</t>
  </si>
  <si>
    <t>Yuni Wahyadi S.P</t>
  </si>
  <si>
    <t>Penyuluh Kabupaten</t>
  </si>
  <si>
    <t xml:space="preserve">DATA DEMOGRAFI PETANI KABUPATEN MUARO JAMBI PER DESEMBER 2025
</t>
  </si>
  <si>
    <t>Kemudahan Akses Pasar 
(Swalayan, Marketplace, dan lainnya)</t>
  </si>
  <si>
    <t xml:space="preserve">Lahan yang Dimiliki </t>
  </si>
  <si>
    <t>Mujtahidul Ikhlas, A.Md.Vet</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</si>
</sst>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scheme val="minor"/>
    </font>
    <font>
      <b/>
      <sz val="14"/>
      <color theme="1"/>
      <name val="Calibri"/>
    </font>
    <font>
      <b/>
      <sz val="11"/>
      <color theme="1"/>
      <name val="Calibri"/>
    </font>
    <font>
      <sz val="11"/>
      <name val="Calibri"/>
    </font>
    <font>
      <sz val="11"/>
      <color theme="1"/>
      <name val="Calibri"/>
    </font>
    <font>
      <sz val="11"/>
      <color rgb="FF000000"/>
      <name val="Calibri"/>
    </font>
    <font>
      <sz val="11"/>
      <color theme="1"/>
      <name val="Calibri"/>
      <scheme val="minor"/>
    </font>
    <font>
      <b/>
      <sz val="16"/>
      <color theme="1"/>
      <name val="Calibri"/>
    </font>
    <font>
      <sz val="11"/>
      <color rgb="FF000000"/>
      <name val="Calibri"/>
    </font>
    <font>
      <sz val="10"/>
      <color theme="1"/>
      <name val="Calibri"/>
    </font>
    <font>
      <sz val="11"/>
      <color theme="1"/>
      <name val="Calibri"/>
      <family val="2"/>
      <scheme val="minor"/>
    </font>
    <font>
      <sz val="11"/>
      <color theme="1"/>
      <name val="Calibri"/>
      <family val="2"/>
    </font>
    <font>
      <b/>
      <sz val="11"/>
      <color theme="1"/>
      <name val="Calibri"/>
      <family val="2"/>
    </font>
    <font>
      <sz val="11"/>
      <name val="Calibri"/>
      <family val="2"/>
    </font>
    <font>
      <sz val="11"/>
      <color rgb="FF000000"/>
      <name val="Calibri"/>
      <family val="2"/>
    </font>
    <font>
      <b/>
      <sz val="14"/>
      <color theme="1"/>
      <name val="Calibri"/>
      <family val="2"/>
    </font>
  </fonts>
  <fills count="5">
    <fill>
      <patternFill patternType="none"/>
    </fill>
    <fill>
      <patternFill patternType="gray125"/>
    </fill>
    <fill>
      <patternFill patternType="solid">
        <fgColor theme="0"/>
        <bgColor theme="0"/>
      </patternFill>
    </fill>
    <fill>
      <patternFill patternType="solid">
        <fgColor theme="8" tint="0.59999389629810485"/>
        <bgColor indexed="64"/>
      </patternFill>
    </fill>
    <fill>
      <patternFill patternType="solid">
        <fgColor theme="8" tint="0.59999389629810485"/>
        <bgColor rgb="FFD8D8D8"/>
      </patternFill>
    </fill>
  </fills>
  <borders count="1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208">
    <xf numFmtId="0" fontId="0" fillId="0" borderId="0" xfId="0" applyFont="1" applyAlignment="1"/>
    <xf numFmtId="0" fontId="4" fillId="0" borderId="2" xfId="0" applyFont="1" applyBorder="1" applyAlignment="1">
      <alignment horizontal="center" vertical="center" wrapText="1"/>
    </xf>
    <xf numFmtId="0" fontId="4" fillId="0" borderId="2" xfId="0" applyFont="1" applyBorder="1" applyAlignment="1"/>
    <xf numFmtId="0" fontId="4" fillId="0" borderId="2" xfId="0" applyFont="1" applyBorder="1"/>
    <xf numFmtId="0" fontId="4" fillId="0" borderId="2" xfId="0" applyFont="1" applyBorder="1" applyAlignment="1">
      <alignment horizontal="center" vertical="center"/>
    </xf>
    <xf numFmtId="0" fontId="6" fillId="0" borderId="0" xfId="0" applyFont="1" applyAlignment="1">
      <alignment horizontal="left" vertical="center"/>
    </xf>
    <xf numFmtId="0" fontId="4" fillId="0" borderId="0" xfId="0" applyFont="1" applyAlignment="1">
      <alignment horizontal="center"/>
    </xf>
    <xf numFmtId="0" fontId="6" fillId="0" borderId="0" xfId="0" applyFont="1" applyAlignment="1">
      <alignment horizontal="center"/>
    </xf>
    <xf numFmtId="0" fontId="4" fillId="0" borderId="2" xfId="0" applyFont="1" applyBorder="1" applyAlignment="1">
      <alignment vertical="center" wrapText="1"/>
    </xf>
    <xf numFmtId="1" fontId="4" fillId="0" borderId="2" xfId="0" applyNumberFormat="1" applyFont="1" applyBorder="1" applyAlignment="1">
      <alignment vertical="center" wrapText="1"/>
    </xf>
    <xf numFmtId="0" fontId="4" fillId="0" borderId="2" xfId="0" applyFont="1" applyBorder="1" applyAlignment="1">
      <alignment vertical="center" wrapText="1"/>
    </xf>
    <xf numFmtId="0" fontId="4" fillId="0" borderId="2" xfId="0" applyFont="1" applyBorder="1" applyAlignment="1">
      <alignment vertical="top" wrapText="1"/>
    </xf>
    <xf numFmtId="0" fontId="5" fillId="2" borderId="2" xfId="0" applyFont="1" applyFill="1" applyBorder="1" applyAlignment="1"/>
    <xf numFmtId="0" fontId="4" fillId="2" borderId="2" xfId="0" applyFont="1" applyFill="1" applyBorder="1" applyAlignment="1"/>
    <xf numFmtId="0" fontId="4" fillId="0" borderId="2" xfId="0" applyFont="1" applyBorder="1" applyAlignment="1">
      <alignment vertical="center"/>
    </xf>
    <xf numFmtId="0" fontId="0" fillId="0" borderId="0" xfId="0" applyFont="1" applyFill="1" applyAlignment="1"/>
    <xf numFmtId="0" fontId="4" fillId="0" borderId="2" xfId="0" applyFont="1" applyFill="1" applyBorder="1" applyAlignment="1">
      <alignment horizontal="center" vertical="center" wrapText="1"/>
    </xf>
    <xf numFmtId="0" fontId="4" fillId="0" borderId="2" xfId="0" applyFont="1" applyFill="1" applyBorder="1" applyAlignment="1"/>
    <xf numFmtId="0" fontId="5" fillId="0" borderId="2" xfId="0" applyFont="1" applyFill="1" applyBorder="1" applyAlignment="1"/>
    <xf numFmtId="0" fontId="4" fillId="0" borderId="2" xfId="0" applyFont="1" applyFill="1" applyBorder="1" applyAlignment="1">
      <alignment horizontal="center" vertical="center"/>
    </xf>
    <xf numFmtId="0" fontId="4" fillId="0" borderId="2" xfId="0" applyFont="1" applyFill="1" applyBorder="1" applyAlignment="1">
      <alignment vertical="top"/>
    </xf>
    <xf numFmtId="0" fontId="6" fillId="0" borderId="2" xfId="0" applyFont="1" applyFill="1" applyBorder="1" applyAlignment="1"/>
    <xf numFmtId="0" fontId="0" fillId="0" borderId="0" xfId="0" applyFont="1" applyFill="1" applyAlignment="1">
      <alignment horizontal="left" vertical="top"/>
    </xf>
    <xf numFmtId="0" fontId="5" fillId="0" borderId="2" xfId="0" applyFont="1" applyFill="1" applyBorder="1" applyAlignment="1">
      <alignment horizontal="left" vertical="top"/>
    </xf>
    <xf numFmtId="0" fontId="10" fillId="0" borderId="0" xfId="0" applyFont="1"/>
    <xf numFmtId="0" fontId="0" fillId="0" borderId="0" xfId="0" applyFont="1" applyAlignment="1">
      <alignment vertical="center"/>
    </xf>
    <xf numFmtId="0" fontId="5" fillId="0" borderId="2" xfId="0" applyFont="1" applyFill="1" applyBorder="1" applyAlignment="1">
      <alignment horizontal="center" vertical="center"/>
    </xf>
    <xf numFmtId="0" fontId="0" fillId="0" borderId="0" xfId="0" applyFont="1" applyFill="1" applyAlignment="1">
      <alignment vertical="center"/>
    </xf>
    <xf numFmtId="0" fontId="11" fillId="0" borderId="2" xfId="0" applyFont="1" applyBorder="1"/>
    <xf numFmtId="0" fontId="4" fillId="0" borderId="0" xfId="0" applyFont="1" applyFill="1"/>
    <xf numFmtId="0" fontId="4" fillId="0" borderId="0" xfId="0" applyFont="1" applyFill="1" applyAlignment="1">
      <alignment horizontal="center"/>
    </xf>
    <xf numFmtId="0" fontId="4" fillId="0" borderId="0" xfId="0" applyFont="1" applyFill="1" applyAlignment="1">
      <alignment horizontal="left" vertical="top"/>
    </xf>
    <xf numFmtId="1" fontId="4" fillId="0" borderId="2" xfId="0" applyNumberFormat="1" applyFont="1" applyFill="1" applyBorder="1" applyAlignment="1">
      <alignment horizontal="center" vertical="center" wrapText="1"/>
    </xf>
    <xf numFmtId="0" fontId="4" fillId="0" borderId="2" xfId="0" applyFont="1" applyFill="1" applyBorder="1" applyAlignment="1">
      <alignment vertical="center" wrapText="1"/>
    </xf>
    <xf numFmtId="0" fontId="5" fillId="0" borderId="2" xfId="0" applyFont="1" applyFill="1" applyBorder="1" applyAlignment="1">
      <alignment vertical="top"/>
    </xf>
    <xf numFmtId="0" fontId="8" fillId="0" borderId="2" xfId="0" applyFont="1" applyFill="1" applyBorder="1" applyAlignment="1"/>
    <xf numFmtId="0" fontId="5" fillId="0" borderId="8" xfId="0" applyFont="1" applyFill="1" applyBorder="1" applyAlignment="1">
      <alignment horizontal="left" vertical="top"/>
    </xf>
    <xf numFmtId="0" fontId="5" fillId="0" borderId="4" xfId="0" applyFont="1" applyFill="1" applyBorder="1" applyAlignment="1"/>
    <xf numFmtId="0" fontId="5" fillId="0" borderId="10" xfId="0" applyFont="1" applyFill="1" applyBorder="1" applyAlignment="1"/>
    <xf numFmtId="0" fontId="4" fillId="0" borderId="0" xfId="0" applyFont="1" applyFill="1" applyAlignment="1">
      <alignment horizontal="center" vertical="center"/>
    </xf>
    <xf numFmtId="0" fontId="0" fillId="0" borderId="0" xfId="0" applyFont="1" applyFill="1" applyAlignment="1">
      <alignment horizontal="center" vertical="center"/>
    </xf>
    <xf numFmtId="0" fontId="5" fillId="0" borderId="2" xfId="0" applyFont="1" applyFill="1" applyBorder="1" applyAlignment="1">
      <alignment horizontal="center" vertical="center" wrapText="1"/>
    </xf>
    <xf numFmtId="1" fontId="4" fillId="0" borderId="2" xfId="0" applyNumberFormat="1" applyFont="1" applyFill="1" applyBorder="1" applyAlignment="1">
      <alignment horizontal="center" vertical="center"/>
    </xf>
    <xf numFmtId="2" fontId="4" fillId="0" borderId="2" xfId="0" applyNumberFormat="1" applyFont="1" applyFill="1" applyBorder="1" applyAlignment="1">
      <alignment horizontal="center" vertical="center"/>
    </xf>
    <xf numFmtId="2" fontId="6" fillId="0" borderId="2" xfId="0" applyNumberFormat="1" applyFont="1" applyFill="1" applyBorder="1" applyAlignment="1">
      <alignment horizontal="center" vertical="center"/>
    </xf>
    <xf numFmtId="0" fontId="6" fillId="0" borderId="2" xfId="0" applyFont="1" applyFill="1" applyBorder="1" applyAlignment="1">
      <alignment horizontal="center" vertical="center"/>
    </xf>
    <xf numFmtId="4" fontId="5" fillId="0" borderId="2" xfId="0" applyNumberFormat="1" applyFont="1" applyFill="1" applyBorder="1" applyAlignment="1">
      <alignment horizontal="center" vertical="center"/>
    </xf>
    <xf numFmtId="2" fontId="6" fillId="0" borderId="9" xfId="0" applyNumberFormat="1" applyFont="1" applyFill="1" applyBorder="1" applyAlignment="1">
      <alignment horizontal="center" vertical="center"/>
    </xf>
    <xf numFmtId="2" fontId="6" fillId="0" borderId="0" xfId="0" applyNumberFormat="1" applyFont="1" applyFill="1" applyAlignment="1">
      <alignment horizontal="center" vertical="center"/>
    </xf>
    <xf numFmtId="0" fontId="4" fillId="3" borderId="2" xfId="0" applyFont="1" applyFill="1" applyBorder="1" applyAlignment="1">
      <alignment horizontal="center"/>
    </xf>
    <xf numFmtId="0" fontId="6" fillId="3" borderId="2" xfId="0" applyFont="1" applyFill="1" applyBorder="1" applyAlignment="1">
      <alignment horizontal="left" vertical="top"/>
    </xf>
    <xf numFmtId="0" fontId="6" fillId="3" borderId="2" xfId="0" applyFont="1" applyFill="1" applyBorder="1"/>
    <xf numFmtId="0" fontId="6" fillId="3" borderId="2" xfId="0" applyFont="1" applyFill="1" applyBorder="1" applyAlignment="1">
      <alignment horizontal="center" vertical="center"/>
    </xf>
    <xf numFmtId="0" fontId="11" fillId="0" borderId="1" xfId="0" applyFont="1" applyFill="1" applyBorder="1" applyAlignment="1">
      <alignment horizontal="left" vertical="top"/>
    </xf>
    <xf numFmtId="0" fontId="0" fillId="0" borderId="0" xfId="0" applyFont="1" applyFill="1" applyAlignment="1">
      <alignment horizontal="left"/>
    </xf>
    <xf numFmtId="0" fontId="5" fillId="0" borderId="2" xfId="0" applyFont="1" applyFill="1" applyBorder="1" applyAlignment="1">
      <alignment horizontal="center" vertical="top"/>
    </xf>
    <xf numFmtId="1" fontId="4" fillId="0" borderId="0" xfId="0" applyNumberFormat="1" applyFont="1" applyFill="1" applyAlignment="1">
      <alignment horizontal="center"/>
    </xf>
    <xf numFmtId="0" fontId="6" fillId="0" borderId="0" xfId="0" applyFont="1" applyFill="1" applyAlignment="1">
      <alignment horizontal="center"/>
    </xf>
    <xf numFmtId="0" fontId="5" fillId="0" borderId="2" xfId="0" applyFont="1" applyFill="1" applyBorder="1" applyAlignment="1">
      <alignment horizontal="center"/>
    </xf>
    <xf numFmtId="0" fontId="10" fillId="0" borderId="11" xfId="0" applyFont="1" applyFill="1" applyBorder="1" applyAlignment="1"/>
    <xf numFmtId="1" fontId="11" fillId="0" borderId="11" xfId="0" applyNumberFormat="1" applyFont="1" applyFill="1" applyBorder="1" applyAlignment="1">
      <alignment horizontal="center" vertical="center" wrapText="1"/>
    </xf>
    <xf numFmtId="0" fontId="11" fillId="0" borderId="11" xfId="0" applyFont="1" applyFill="1" applyBorder="1" applyAlignment="1">
      <alignment vertical="center" wrapText="1"/>
    </xf>
    <xf numFmtId="0" fontId="11" fillId="0" borderId="11" xfId="0" applyFont="1" applyFill="1" applyBorder="1" applyAlignment="1">
      <alignment horizontal="center" vertical="center" wrapText="1"/>
    </xf>
    <xf numFmtId="1" fontId="11" fillId="0" borderId="11" xfId="0" applyNumberFormat="1" applyFont="1" applyFill="1" applyBorder="1" applyAlignment="1">
      <alignment horizontal="center"/>
    </xf>
    <xf numFmtId="0" fontId="11" fillId="0" borderId="11" xfId="0" applyFont="1" applyFill="1" applyBorder="1" applyAlignment="1">
      <alignment horizontal="center"/>
    </xf>
    <xf numFmtId="0" fontId="11" fillId="0" borderId="11" xfId="0" applyFont="1" applyFill="1" applyBorder="1" applyAlignment="1"/>
    <xf numFmtId="0" fontId="14" fillId="0" borderId="11" xfId="0" applyFont="1" applyFill="1" applyBorder="1" applyAlignment="1"/>
    <xf numFmtId="0" fontId="14" fillId="0" borderId="11" xfId="0" applyFont="1" applyFill="1" applyBorder="1" applyAlignment="1">
      <alignment horizontal="center"/>
    </xf>
    <xf numFmtId="1" fontId="11" fillId="0" borderId="11" xfId="0" applyNumberFormat="1" applyFont="1" applyFill="1" applyBorder="1" applyAlignment="1">
      <alignment horizontal="center" vertical="center"/>
    </xf>
    <xf numFmtId="0" fontId="10" fillId="0" borderId="11" xfId="0" applyFont="1" applyFill="1" applyBorder="1" applyAlignment="1">
      <alignment vertical="center"/>
    </xf>
    <xf numFmtId="0" fontId="10" fillId="0" borderId="11" xfId="0" applyFont="1" applyFill="1" applyBorder="1" applyAlignment="1">
      <alignment horizontal="center" vertical="center"/>
    </xf>
    <xf numFmtId="1" fontId="11" fillId="0" borderId="0" xfId="0" applyNumberFormat="1" applyFont="1" applyFill="1" applyAlignment="1">
      <alignment horizontal="center" vertical="center"/>
    </xf>
    <xf numFmtId="0" fontId="10" fillId="0" borderId="0" xfId="0" applyFont="1" applyFill="1" applyAlignment="1"/>
    <xf numFmtId="0" fontId="10" fillId="0" borderId="0" xfId="0" applyFont="1" applyFill="1" applyAlignment="1">
      <alignment horizontal="center"/>
    </xf>
    <xf numFmtId="1" fontId="11" fillId="0" borderId="0" xfId="0" applyNumberFormat="1" applyFont="1" applyFill="1" applyAlignment="1">
      <alignment horizontal="center"/>
    </xf>
    <xf numFmtId="0" fontId="10" fillId="0" borderId="11" xfId="0" applyFont="1" applyFill="1" applyBorder="1" applyAlignment="1">
      <alignment horizontal="center"/>
    </xf>
    <xf numFmtId="0" fontId="0" fillId="0" borderId="0" xfId="0" applyFont="1" applyFill="1" applyBorder="1" applyAlignment="1"/>
    <xf numFmtId="0" fontId="10" fillId="0" borderId="0" xfId="0" applyFont="1" applyFill="1" applyBorder="1" applyAlignment="1"/>
    <xf numFmtId="0" fontId="11" fillId="0" borderId="11" xfId="0" applyFont="1" applyFill="1" applyBorder="1" applyAlignment="1">
      <alignment vertical="top"/>
    </xf>
    <xf numFmtId="0" fontId="11" fillId="0" borderId="11" xfId="0" applyFont="1" applyFill="1" applyBorder="1" applyAlignment="1">
      <alignment horizontal="left" vertical="top"/>
    </xf>
    <xf numFmtId="0" fontId="10" fillId="0" borderId="0" xfId="0" applyFont="1" applyFill="1" applyAlignment="1">
      <alignment horizontal="left" vertical="top"/>
    </xf>
    <xf numFmtId="0" fontId="11" fillId="0" borderId="11" xfId="0" applyFont="1" applyFill="1" applyBorder="1" applyAlignment="1">
      <alignment horizontal="left" vertical="center" wrapText="1"/>
    </xf>
    <xf numFmtId="0" fontId="11" fillId="0" borderId="11" xfId="0" applyFont="1" applyFill="1" applyBorder="1" applyAlignment="1">
      <alignment horizontal="left"/>
    </xf>
    <xf numFmtId="0" fontId="10" fillId="0" borderId="11" xfId="0" applyFont="1" applyFill="1" applyBorder="1" applyAlignment="1">
      <alignment horizontal="left"/>
    </xf>
    <xf numFmtId="0" fontId="10" fillId="0" borderId="11" xfId="0" applyFont="1" applyFill="1" applyBorder="1" applyAlignment="1">
      <alignment horizontal="left" vertical="center"/>
    </xf>
    <xf numFmtId="0" fontId="10" fillId="0" borderId="0" xfId="0" applyFont="1" applyFill="1" applyAlignment="1">
      <alignment horizontal="left"/>
    </xf>
    <xf numFmtId="0" fontId="10" fillId="0" borderId="11" xfId="0" applyFont="1" applyFill="1" applyBorder="1" applyAlignment="1">
      <alignment horizontal="left" vertical="center" wrapText="1"/>
    </xf>
    <xf numFmtId="1" fontId="11" fillId="0" borderId="11" xfId="0" applyNumberFormat="1" applyFont="1" applyFill="1" applyBorder="1" applyAlignment="1">
      <alignment horizontal="center" vertical="top"/>
    </xf>
    <xf numFmtId="0" fontId="11" fillId="0" borderId="11" xfId="0" applyFont="1" applyFill="1" applyBorder="1" applyAlignment="1">
      <alignment horizontal="left" vertical="top" wrapText="1"/>
    </xf>
    <xf numFmtId="0" fontId="11" fillId="0" borderId="11" xfId="0" applyFont="1" applyFill="1" applyBorder="1" applyAlignment="1">
      <alignment horizontal="center" vertical="top"/>
    </xf>
    <xf numFmtId="0" fontId="12" fillId="3" borderId="11" xfId="0" applyFont="1" applyFill="1" applyBorder="1" applyAlignment="1">
      <alignment horizontal="center" vertical="center" wrapText="1"/>
    </xf>
    <xf numFmtId="1" fontId="11" fillId="3" borderId="11" xfId="0" applyNumberFormat="1" applyFont="1" applyFill="1" applyBorder="1" applyAlignment="1">
      <alignment horizontal="center" vertical="center"/>
    </xf>
    <xf numFmtId="0" fontId="10" fillId="3" borderId="11" xfId="0" applyFont="1" applyFill="1" applyBorder="1" applyAlignment="1">
      <alignment horizontal="left" vertical="top"/>
    </xf>
    <xf numFmtId="0" fontId="10" fillId="3" borderId="11" xfId="0" applyFont="1" applyFill="1" applyBorder="1" applyAlignment="1"/>
    <xf numFmtId="0" fontId="10" fillId="3" borderId="11" xfId="0" applyFont="1" applyFill="1" applyBorder="1" applyAlignment="1">
      <alignment horizontal="center"/>
    </xf>
    <xf numFmtId="0" fontId="10" fillId="3" borderId="11" xfId="0" applyFont="1" applyFill="1" applyBorder="1" applyAlignment="1">
      <alignment horizontal="left"/>
    </xf>
    <xf numFmtId="0" fontId="4" fillId="0" borderId="0" xfId="0" applyFont="1" applyFill="1" applyBorder="1" applyAlignment="1">
      <alignment horizontal="center" vertical="center"/>
    </xf>
    <xf numFmtId="0" fontId="4" fillId="0" borderId="0" xfId="0" applyFont="1" applyFill="1" applyBorder="1"/>
    <xf numFmtId="1" fontId="9" fillId="0" borderId="11" xfId="0" applyNumberFormat="1" applyFont="1" applyFill="1" applyBorder="1" applyAlignment="1">
      <alignment horizontal="center" vertical="top" wrapText="1"/>
    </xf>
    <xf numFmtId="0" fontId="9" fillId="0" borderId="11" xfId="0" applyFont="1" applyFill="1" applyBorder="1" applyAlignment="1">
      <alignment vertical="top" wrapText="1"/>
    </xf>
    <xf numFmtId="0" fontId="9" fillId="0" borderId="11" xfId="0" applyFont="1" applyFill="1" applyBorder="1" applyAlignment="1">
      <alignment horizontal="center" vertical="top" wrapText="1"/>
    </xf>
    <xf numFmtId="0" fontId="8" fillId="0" borderId="11" xfId="0" applyFont="1" applyFill="1" applyBorder="1" applyAlignment="1">
      <alignment vertical="top"/>
    </xf>
    <xf numFmtId="0" fontId="8" fillId="0" borderId="11" xfId="0" applyFont="1" applyFill="1" applyBorder="1" applyAlignment="1">
      <alignment horizontal="center" vertical="top"/>
    </xf>
    <xf numFmtId="0" fontId="4" fillId="0" borderId="11" xfId="0" applyFont="1" applyFill="1" applyBorder="1" applyAlignment="1">
      <alignment horizontal="center" vertical="top"/>
    </xf>
    <xf numFmtId="0" fontId="4" fillId="0" borderId="11" xfId="0" applyFont="1" applyFill="1" applyBorder="1" applyAlignment="1">
      <alignment vertical="top"/>
    </xf>
    <xf numFmtId="0" fontId="4" fillId="0" borderId="11" xfId="0" applyFont="1" applyFill="1" applyBorder="1" applyAlignment="1">
      <alignment horizontal="left" vertical="top"/>
    </xf>
    <xf numFmtId="0" fontId="9" fillId="0" borderId="11" xfId="0" applyFont="1" applyFill="1" applyBorder="1" applyAlignment="1">
      <alignment horizontal="left" vertical="top" wrapText="1"/>
    </xf>
    <xf numFmtId="0" fontId="6" fillId="0" borderId="11" xfId="0" applyFont="1" applyFill="1" applyBorder="1" applyAlignment="1">
      <alignment vertical="top"/>
    </xf>
    <xf numFmtId="0" fontId="4" fillId="3" borderId="11" xfId="0" applyFont="1" applyFill="1" applyBorder="1" applyAlignment="1">
      <alignment horizontal="center" vertical="center"/>
    </xf>
    <xf numFmtId="0" fontId="4" fillId="3" borderId="11" xfId="0" applyFont="1" applyFill="1" applyBorder="1" applyAlignment="1"/>
    <xf numFmtId="0" fontId="4" fillId="3" borderId="11" xfId="0" applyFont="1" applyFill="1" applyBorder="1"/>
    <xf numFmtId="1" fontId="4" fillId="0" borderId="2" xfId="0" applyNumberFormat="1" applyFont="1" applyFill="1" applyBorder="1" applyAlignment="1">
      <alignment vertical="center" wrapText="1"/>
    </xf>
    <xf numFmtId="0" fontId="5" fillId="0" borderId="2" xfId="0" applyFont="1" applyFill="1" applyBorder="1" applyAlignment="1">
      <alignment horizontal="left"/>
    </xf>
    <xf numFmtId="0" fontId="5" fillId="0" borderId="2" xfId="0" applyFont="1" applyFill="1" applyBorder="1"/>
    <xf numFmtId="0" fontId="5" fillId="0" borderId="8" xfId="0" applyFont="1" applyFill="1" applyBorder="1" applyAlignment="1">
      <alignment horizontal="left"/>
    </xf>
    <xf numFmtId="0" fontId="2" fillId="4" borderId="2" xfId="0" applyFont="1" applyFill="1" applyBorder="1" applyAlignment="1">
      <alignment horizontal="center" vertical="center" wrapText="1"/>
    </xf>
    <xf numFmtId="1" fontId="4" fillId="0" borderId="1" xfId="0" applyNumberFormat="1" applyFont="1" applyBorder="1" applyAlignment="1">
      <alignment vertical="center" wrapText="1"/>
    </xf>
    <xf numFmtId="0" fontId="11" fillId="0" borderId="1" xfId="0" applyFont="1" applyBorder="1"/>
    <xf numFmtId="0" fontId="4" fillId="0" borderId="1" xfId="0" applyFont="1" applyBorder="1"/>
    <xf numFmtId="0" fontId="0" fillId="3" borderId="11" xfId="0" applyFont="1" applyFill="1" applyBorder="1" applyAlignment="1"/>
    <xf numFmtId="0" fontId="4" fillId="0" borderId="2" xfId="0" applyFont="1" applyBorder="1" applyAlignment="1">
      <alignment horizontal="center"/>
    </xf>
    <xf numFmtId="0" fontId="4" fillId="0" borderId="2" xfId="0" applyFont="1" applyFill="1" applyBorder="1" applyAlignment="1">
      <alignment horizontal="center"/>
    </xf>
    <xf numFmtId="0" fontId="4" fillId="0" borderId="1" xfId="0" applyFont="1" applyBorder="1" applyAlignment="1">
      <alignment horizontal="center"/>
    </xf>
    <xf numFmtId="1" fontId="4" fillId="0" borderId="2" xfId="0" applyNumberFormat="1" applyFont="1" applyBorder="1" applyAlignment="1">
      <alignment horizontal="center" vertical="top" wrapText="1"/>
    </xf>
    <xf numFmtId="0" fontId="4" fillId="0" borderId="2" xfId="0" applyFont="1" applyBorder="1" applyAlignment="1">
      <alignment horizontal="center" vertical="top" wrapText="1"/>
    </xf>
    <xf numFmtId="0" fontId="2" fillId="0" borderId="2" xfId="0" applyFont="1" applyBorder="1" applyAlignment="1">
      <alignment horizontal="center" vertical="top" wrapText="1"/>
    </xf>
    <xf numFmtId="0" fontId="4" fillId="0" borderId="2" xfId="0" applyFont="1" applyBorder="1" applyAlignment="1">
      <alignment horizontal="left" vertical="top" wrapText="1"/>
    </xf>
    <xf numFmtId="0" fontId="4" fillId="0" borderId="2" xfId="0" applyFont="1" applyBorder="1" applyAlignment="1">
      <alignment horizontal="center" vertical="top"/>
    </xf>
    <xf numFmtId="0" fontId="4" fillId="0" borderId="2" xfId="0" applyFont="1" applyBorder="1" applyAlignment="1">
      <alignment vertical="top"/>
    </xf>
    <xf numFmtId="0" fontId="10" fillId="0" borderId="0" xfId="0" applyFont="1" applyAlignment="1">
      <alignment vertical="top"/>
    </xf>
    <xf numFmtId="0" fontId="4" fillId="0" borderId="2" xfId="0" applyFont="1" applyFill="1" applyBorder="1" applyAlignment="1">
      <alignment horizontal="center" vertical="top"/>
    </xf>
    <xf numFmtId="0" fontId="5" fillId="0" borderId="2" xfId="0" applyFont="1" applyFill="1" applyBorder="1" applyAlignment="1">
      <alignment vertical="top" wrapText="1"/>
    </xf>
    <xf numFmtId="0" fontId="6" fillId="0" borderId="2" xfId="0" applyFont="1" applyBorder="1" applyAlignment="1">
      <alignment vertical="top" wrapText="1"/>
    </xf>
    <xf numFmtId="0" fontId="11" fillId="0" borderId="2" xfId="0" applyFont="1" applyBorder="1" applyAlignment="1">
      <alignment vertical="top"/>
    </xf>
    <xf numFmtId="0" fontId="4" fillId="0" borderId="2" xfId="0" applyFont="1" applyBorder="1" applyAlignment="1">
      <alignment horizontal="left" vertical="top"/>
    </xf>
    <xf numFmtId="0" fontId="4" fillId="0" borderId="1" xfId="0" applyFont="1" applyBorder="1" applyAlignment="1">
      <alignment horizontal="center" vertical="top"/>
    </xf>
    <xf numFmtId="0" fontId="4" fillId="0" borderId="1" xfId="0" applyFont="1" applyBorder="1" applyAlignment="1">
      <alignment vertical="top"/>
    </xf>
    <xf numFmtId="0" fontId="4" fillId="0" borderId="1" xfId="0" applyFont="1" applyBorder="1" applyAlignment="1">
      <alignment vertical="top" wrapText="1"/>
    </xf>
    <xf numFmtId="0" fontId="4" fillId="0" borderId="11" xfId="0" applyFont="1" applyBorder="1" applyAlignment="1">
      <alignment horizontal="center" vertical="top"/>
    </xf>
    <xf numFmtId="0" fontId="4" fillId="0" borderId="11" xfId="0" applyFont="1" applyBorder="1" applyAlignment="1">
      <alignment vertical="top"/>
    </xf>
    <xf numFmtId="0" fontId="4" fillId="0" borderId="11" xfId="0" applyFont="1" applyBorder="1" applyAlignment="1">
      <alignment vertical="top" wrapText="1"/>
    </xf>
    <xf numFmtId="0" fontId="4" fillId="3" borderId="11" xfId="0" applyFont="1" applyFill="1" applyBorder="1" applyAlignment="1">
      <alignment horizontal="center"/>
    </xf>
    <xf numFmtId="0" fontId="6" fillId="3" borderId="11" xfId="0" applyFont="1" applyFill="1" applyBorder="1" applyAlignment="1">
      <alignment horizontal="center"/>
    </xf>
    <xf numFmtId="0" fontId="2" fillId="3" borderId="7"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3" borderId="11" xfId="0" applyFont="1" applyFill="1" applyBorder="1" applyAlignment="1">
      <alignment horizontal="center"/>
    </xf>
    <xf numFmtId="0" fontId="10" fillId="0" borderId="11" xfId="0" applyFont="1" applyBorder="1"/>
    <xf numFmtId="0" fontId="11" fillId="0" borderId="2" xfId="0" applyFont="1" applyFill="1" applyBorder="1" applyAlignment="1">
      <alignment horizontal="left" vertical="top" wrapText="1"/>
    </xf>
    <xf numFmtId="0" fontId="11" fillId="0" borderId="2" xfId="0" applyFont="1" applyFill="1" applyBorder="1" applyAlignment="1">
      <alignment horizontal="center" vertical="top" wrapText="1"/>
    </xf>
    <xf numFmtId="0" fontId="11" fillId="0" borderId="1" xfId="0" applyFont="1" applyFill="1" applyBorder="1" applyAlignment="1">
      <alignment horizontal="left" vertical="top" wrapText="1"/>
    </xf>
    <xf numFmtId="0" fontId="11" fillId="0" borderId="3" xfId="0" applyFont="1" applyFill="1" applyBorder="1" applyAlignment="1">
      <alignment horizontal="left" vertical="top" wrapText="1"/>
    </xf>
    <xf numFmtId="0" fontId="11" fillId="0" borderId="2" xfId="0" applyFont="1" applyFill="1" applyBorder="1" applyAlignment="1">
      <alignment horizontal="left" vertical="top"/>
    </xf>
    <xf numFmtId="0" fontId="11" fillId="0" borderId="2" xfId="0" applyFont="1" applyFill="1" applyBorder="1" applyAlignment="1">
      <alignment horizontal="center" vertical="top"/>
    </xf>
    <xf numFmtId="0" fontId="11" fillId="0" borderId="3" xfId="0" applyFont="1" applyFill="1" applyBorder="1" applyAlignment="1">
      <alignment horizontal="left" vertical="top"/>
    </xf>
    <xf numFmtId="0" fontId="14" fillId="0" borderId="2" xfId="0" applyFont="1" applyFill="1" applyBorder="1" applyAlignment="1">
      <alignment horizontal="center" vertical="top"/>
    </xf>
    <xf numFmtId="0" fontId="14" fillId="0" borderId="2" xfId="0" applyFont="1" applyFill="1" applyBorder="1" applyAlignment="1">
      <alignment horizontal="left" vertical="top"/>
    </xf>
    <xf numFmtId="0" fontId="14" fillId="0" borderId="3" xfId="0" applyFont="1" applyFill="1" applyBorder="1" applyAlignment="1">
      <alignment horizontal="left" vertical="top"/>
    </xf>
    <xf numFmtId="0" fontId="14" fillId="0" borderId="11" xfId="0" applyFont="1" applyFill="1" applyBorder="1" applyAlignment="1">
      <alignment horizontal="left" vertical="top"/>
    </xf>
    <xf numFmtId="0" fontId="11" fillId="0" borderId="15" xfId="0" applyFont="1" applyFill="1" applyBorder="1" applyAlignment="1">
      <alignment horizontal="left" vertical="top" wrapText="1"/>
    </xf>
    <xf numFmtId="0" fontId="12" fillId="0" borderId="2" xfId="0" applyFont="1" applyFill="1" applyBorder="1" applyAlignment="1">
      <alignment horizontal="center" vertical="top"/>
    </xf>
    <xf numFmtId="0" fontId="11" fillId="0" borderId="7" xfId="0" applyFont="1" applyFill="1" applyBorder="1" applyAlignment="1">
      <alignment horizontal="left" vertical="top"/>
    </xf>
    <xf numFmtId="0" fontId="11" fillId="0" borderId="1" xfId="0" applyFont="1" applyFill="1" applyBorder="1" applyAlignment="1">
      <alignment horizontal="center" vertical="top"/>
    </xf>
    <xf numFmtId="0" fontId="11" fillId="0" borderId="15" xfId="0" applyFont="1" applyFill="1" applyBorder="1" applyAlignment="1">
      <alignment horizontal="left" vertical="top" wrapText="1"/>
    </xf>
    <xf numFmtId="0" fontId="13" fillId="0" borderId="16" xfId="0" applyFont="1" applyFill="1" applyBorder="1" applyAlignment="1">
      <alignment horizontal="left" vertical="top"/>
    </xf>
    <xf numFmtId="0" fontId="15" fillId="0" borderId="0" xfId="0" applyFont="1" applyFill="1" applyAlignment="1">
      <alignment horizontal="center" vertical="center"/>
    </xf>
    <xf numFmtId="0" fontId="0" fillId="0" borderId="0" xfId="0" applyFont="1" applyFill="1" applyAlignment="1"/>
    <xf numFmtId="0" fontId="1" fillId="0" borderId="0" xfId="0" applyFont="1" applyFill="1" applyAlignment="1">
      <alignment horizontal="center" vertical="center"/>
    </xf>
    <xf numFmtId="0" fontId="2" fillId="3" borderId="1" xfId="0" applyFont="1" applyFill="1" applyBorder="1" applyAlignment="1">
      <alignment horizontal="center" vertical="center" wrapText="1"/>
    </xf>
    <xf numFmtId="0" fontId="3" fillId="3" borderId="6" xfId="0" applyFont="1" applyFill="1" applyBorder="1"/>
    <xf numFmtId="0" fontId="2" fillId="3" borderId="3" xfId="0" applyFont="1" applyFill="1" applyBorder="1" applyAlignment="1">
      <alignment horizontal="center" vertical="center" wrapText="1"/>
    </xf>
    <xf numFmtId="0" fontId="3" fillId="3" borderId="4" xfId="0" applyFont="1" applyFill="1" applyBorder="1"/>
    <xf numFmtId="0" fontId="3" fillId="3" borderId="5" xfId="0" applyFont="1" applyFill="1" applyBorder="1"/>
    <xf numFmtId="0" fontId="1" fillId="0" borderId="0" xfId="0" applyFont="1" applyAlignment="1">
      <alignment horizontal="center"/>
    </xf>
    <xf numFmtId="0" fontId="0" fillId="0" borderId="0" xfId="0" applyFont="1" applyAlignment="1"/>
    <xf numFmtId="0" fontId="1" fillId="0" borderId="0" xfId="0" applyFont="1" applyAlignment="1">
      <alignment horizontal="center" wrapText="1"/>
    </xf>
    <xf numFmtId="0" fontId="6" fillId="0" borderId="1" xfId="0" applyFont="1" applyFill="1" applyBorder="1" applyAlignment="1">
      <alignment horizontal="left" vertical="top"/>
    </xf>
    <xf numFmtId="0" fontId="6" fillId="0" borderId="8" xfId="0" applyFont="1" applyFill="1" applyBorder="1" applyAlignment="1">
      <alignment horizontal="left" vertical="top"/>
    </xf>
    <xf numFmtId="0" fontId="6" fillId="0" borderId="7" xfId="0" applyFont="1" applyFill="1" applyBorder="1" applyAlignment="1">
      <alignment horizontal="left" vertical="top"/>
    </xf>
    <xf numFmtId="0" fontId="5" fillId="0" borderId="1" xfId="0" applyFont="1" applyFill="1" applyBorder="1" applyAlignment="1">
      <alignment horizontal="left" vertical="top"/>
    </xf>
    <xf numFmtId="0" fontId="5" fillId="0" borderId="8" xfId="0" applyFont="1" applyFill="1" applyBorder="1" applyAlignment="1">
      <alignment horizontal="left" vertical="top"/>
    </xf>
    <xf numFmtId="0" fontId="5" fillId="0" borderId="7" xfId="0" applyFont="1" applyFill="1" applyBorder="1" applyAlignment="1">
      <alignment horizontal="left" vertical="top"/>
    </xf>
    <xf numFmtId="0" fontId="4" fillId="0" borderId="1" xfId="0" applyFont="1" applyFill="1" applyBorder="1" applyAlignment="1">
      <alignment horizontal="left" vertical="top" wrapText="1"/>
    </xf>
    <xf numFmtId="0" fontId="4" fillId="0" borderId="8" xfId="0" applyFont="1" applyFill="1" applyBorder="1" applyAlignment="1">
      <alignment horizontal="left" vertical="top" wrapText="1"/>
    </xf>
    <xf numFmtId="0" fontId="4" fillId="0" borderId="7" xfId="0" applyFont="1" applyFill="1" applyBorder="1" applyAlignment="1">
      <alignment horizontal="left" vertical="top" wrapText="1"/>
    </xf>
    <xf numFmtId="0" fontId="11" fillId="0" borderId="1" xfId="0" applyFont="1" applyFill="1" applyBorder="1" applyAlignment="1">
      <alignment horizontal="left" vertical="top"/>
    </xf>
    <xf numFmtId="0" fontId="4" fillId="0" borderId="8" xfId="0" applyFont="1" applyFill="1" applyBorder="1" applyAlignment="1">
      <alignment horizontal="left" vertical="top"/>
    </xf>
    <xf numFmtId="0" fontId="4" fillId="0" borderId="7" xfId="0" applyFont="1" applyFill="1" applyBorder="1" applyAlignment="1">
      <alignment horizontal="left" vertical="top"/>
    </xf>
    <xf numFmtId="0" fontId="3" fillId="3" borderId="6" xfId="0" applyFont="1" applyFill="1" applyBorder="1" applyAlignment="1">
      <alignment horizontal="center" vertical="center"/>
    </xf>
    <xf numFmtId="0" fontId="7" fillId="0" borderId="0" xfId="0" applyFont="1" applyFill="1" applyAlignment="1">
      <alignment horizontal="center"/>
    </xf>
    <xf numFmtId="0" fontId="0" fillId="0" borderId="0" xfId="0" applyFont="1" applyFill="1" applyAlignment="1">
      <alignment horizontal="center"/>
    </xf>
    <xf numFmtId="0" fontId="3" fillId="3" borderId="7" xfId="0" applyFont="1" applyFill="1" applyBorder="1" applyAlignment="1">
      <alignment horizontal="center" vertical="center"/>
    </xf>
    <xf numFmtId="0" fontId="4" fillId="0" borderId="1" xfId="0" applyFont="1" applyFill="1" applyBorder="1" applyAlignment="1">
      <alignment horizontal="left" vertical="top"/>
    </xf>
    <xf numFmtId="0" fontId="11" fillId="0" borderId="12" xfId="0" applyFont="1" applyFill="1" applyBorder="1" applyAlignment="1">
      <alignment horizontal="left" vertical="top"/>
    </xf>
    <xf numFmtId="0" fontId="11" fillId="0" borderId="13" xfId="0" applyFont="1" applyFill="1" applyBorder="1" applyAlignment="1">
      <alignment horizontal="left" vertical="top"/>
    </xf>
    <xf numFmtId="0" fontId="11" fillId="0" borderId="14" xfId="0" applyFont="1" applyFill="1" applyBorder="1" applyAlignment="1">
      <alignment horizontal="left" vertical="top"/>
    </xf>
    <xf numFmtId="0" fontId="11" fillId="0" borderId="12" xfId="0" applyFont="1" applyFill="1" applyBorder="1" applyAlignment="1">
      <alignment horizontal="left" vertical="top" wrapText="1"/>
    </xf>
    <xf numFmtId="0" fontId="11" fillId="0" borderId="13" xfId="0" applyFont="1" applyFill="1" applyBorder="1" applyAlignment="1">
      <alignment horizontal="left" vertical="top" wrapText="1"/>
    </xf>
    <xf numFmtId="0" fontId="11" fillId="0" borderId="14" xfId="0" applyFont="1" applyFill="1" applyBorder="1" applyAlignment="1">
      <alignment horizontal="left" vertical="top" wrapText="1"/>
    </xf>
    <xf numFmtId="0" fontId="10" fillId="0" borderId="12" xfId="0" applyFont="1" applyFill="1" applyBorder="1" applyAlignment="1">
      <alignment horizontal="left" vertical="top"/>
    </xf>
    <xf numFmtId="0" fontId="10" fillId="0" borderId="13" xfId="0" applyFont="1" applyFill="1" applyBorder="1" applyAlignment="1">
      <alignment horizontal="left" vertical="top"/>
    </xf>
    <xf numFmtId="0" fontId="10" fillId="0" borderId="14" xfId="0" applyFont="1" applyFill="1" applyBorder="1" applyAlignment="1">
      <alignment horizontal="left" vertical="top"/>
    </xf>
    <xf numFmtId="1" fontId="12" fillId="3" borderId="11" xfId="0" applyNumberFormat="1" applyFont="1" applyFill="1" applyBorder="1" applyAlignment="1">
      <alignment horizontal="center" vertical="center" wrapText="1"/>
    </xf>
    <xf numFmtId="0" fontId="13" fillId="3" borderId="11" xfId="0" applyFont="1" applyFill="1" applyBorder="1"/>
    <xf numFmtId="0" fontId="12" fillId="3" borderId="11" xfId="0" applyFont="1" applyFill="1" applyBorder="1" applyAlignment="1">
      <alignment horizontal="center" vertical="center" wrapText="1"/>
    </xf>
    <xf numFmtId="0" fontId="13" fillId="3" borderId="11" xfId="0" applyFont="1" applyFill="1" applyBorder="1" applyAlignment="1">
      <alignment horizontal="center" vertical="center"/>
    </xf>
    <xf numFmtId="0" fontId="1" fillId="0" borderId="0" xfId="0" applyFont="1" applyFill="1" applyAlignment="1">
      <alignment horizontal="center"/>
    </xf>
    <xf numFmtId="0" fontId="10" fillId="0" borderId="3" xfId="0" applyFont="1" applyFill="1" applyBorder="1" applyAlignment="1">
      <alignment horizontal="left" vertical="top" wrapText="1"/>
    </xf>
    <xf numFmtId="0" fontId="10" fillId="0"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538"/>
  <sheetViews>
    <sheetView tabSelected="1" topLeftCell="A4" workbookViewId="0">
      <selection activeCell="J74" sqref="J74"/>
    </sheetView>
  </sheetViews>
  <sheetFormatPr defaultColWidth="14.42578125" defaultRowHeight="15" customHeight="1" x14ac:dyDescent="0.25"/>
  <cols>
    <col min="1" max="1" width="4.85546875" style="15" customWidth="1"/>
    <col min="2" max="2" width="16" style="15" customWidth="1"/>
    <col min="3" max="3" width="21" style="15" bestFit="1" customWidth="1"/>
    <col min="4" max="6" width="12.7109375" style="15" customWidth="1"/>
    <col min="7" max="9" width="6" style="15" customWidth="1"/>
    <col min="10" max="10" width="42.42578125" style="15" customWidth="1"/>
    <col min="11" max="11" width="23.85546875" style="15" bestFit="1" customWidth="1"/>
    <col min="12" max="16384" width="14.42578125" style="15"/>
  </cols>
  <sheetData>
    <row r="1" spans="1:11" ht="18.75" x14ac:dyDescent="0.25">
      <c r="A1" s="164" t="s">
        <v>1663</v>
      </c>
      <c r="B1" s="165"/>
      <c r="C1" s="165"/>
      <c r="D1" s="165"/>
      <c r="E1" s="165"/>
      <c r="F1" s="165"/>
      <c r="G1" s="165"/>
      <c r="H1" s="165"/>
      <c r="I1" s="165"/>
      <c r="J1" s="165"/>
      <c r="K1" s="165"/>
    </row>
    <row r="2" spans="1:11" ht="18.75" x14ac:dyDescent="0.25">
      <c r="A2" s="166" t="s">
        <v>0</v>
      </c>
      <c r="B2" s="165"/>
      <c r="C2" s="165"/>
      <c r="D2" s="165"/>
      <c r="E2" s="165"/>
      <c r="F2" s="165"/>
      <c r="G2" s="165"/>
      <c r="H2" s="165"/>
      <c r="I2" s="165"/>
      <c r="J2" s="165"/>
      <c r="K2" s="165"/>
    </row>
    <row r="4" spans="1:11" ht="15" customHeight="1" x14ac:dyDescent="0.25">
      <c r="A4" s="167" t="s">
        <v>1</v>
      </c>
      <c r="B4" s="167" t="s">
        <v>2</v>
      </c>
      <c r="C4" s="167" t="s">
        <v>3</v>
      </c>
      <c r="D4" s="169" t="s">
        <v>4</v>
      </c>
      <c r="E4" s="170"/>
      <c r="F4" s="171"/>
      <c r="G4" s="169" t="s">
        <v>5</v>
      </c>
      <c r="H4" s="170"/>
      <c r="I4" s="171"/>
      <c r="J4" s="167" t="s">
        <v>6</v>
      </c>
      <c r="K4" s="167" t="s">
        <v>7</v>
      </c>
    </row>
    <row r="5" spans="1:11" ht="30" x14ac:dyDescent="0.25">
      <c r="A5" s="168"/>
      <c r="B5" s="168"/>
      <c r="C5" s="168"/>
      <c r="D5" s="143" t="s">
        <v>8</v>
      </c>
      <c r="E5" s="143" t="s">
        <v>9</v>
      </c>
      <c r="F5" s="143" t="s">
        <v>10</v>
      </c>
      <c r="G5" s="143" t="s">
        <v>11</v>
      </c>
      <c r="H5" s="144" t="s">
        <v>12</v>
      </c>
      <c r="I5" s="144" t="s">
        <v>13</v>
      </c>
      <c r="J5" s="168"/>
      <c r="K5" s="168"/>
    </row>
    <row r="6" spans="1:11" s="80" customFormat="1" ht="75" x14ac:dyDescent="0.25">
      <c r="A6" s="147">
        <v>1</v>
      </c>
      <c r="B6" s="147" t="s">
        <v>14</v>
      </c>
      <c r="C6" s="147" t="s">
        <v>15</v>
      </c>
      <c r="D6" s="148">
        <v>1</v>
      </c>
      <c r="E6" s="148">
        <v>8</v>
      </c>
      <c r="F6" s="148"/>
      <c r="G6" s="148" t="s">
        <v>16</v>
      </c>
      <c r="H6" s="148"/>
      <c r="I6" s="148"/>
      <c r="J6" s="147" t="s">
        <v>17</v>
      </c>
      <c r="K6" s="147" t="s">
        <v>18</v>
      </c>
    </row>
    <row r="7" spans="1:11" s="80" customFormat="1" x14ac:dyDescent="0.25">
      <c r="A7" s="147">
        <v>2</v>
      </c>
      <c r="B7" s="147" t="s">
        <v>14</v>
      </c>
      <c r="C7" s="147" t="s">
        <v>19</v>
      </c>
      <c r="D7" s="148"/>
      <c r="E7" s="148">
        <v>1</v>
      </c>
      <c r="F7" s="148"/>
      <c r="G7" s="148" t="s">
        <v>16</v>
      </c>
      <c r="H7" s="148"/>
      <c r="I7" s="148"/>
      <c r="J7" s="147" t="s">
        <v>20</v>
      </c>
      <c r="K7" s="147" t="s">
        <v>18</v>
      </c>
    </row>
    <row r="8" spans="1:11" s="80" customFormat="1" x14ac:dyDescent="0.25">
      <c r="A8" s="147">
        <v>3</v>
      </c>
      <c r="B8" s="147" t="s">
        <v>14</v>
      </c>
      <c r="C8" s="147" t="s">
        <v>21</v>
      </c>
      <c r="D8" s="148"/>
      <c r="E8" s="148">
        <v>1</v>
      </c>
      <c r="F8" s="148"/>
      <c r="G8" s="148" t="s">
        <v>16</v>
      </c>
      <c r="H8" s="148"/>
      <c r="I8" s="148"/>
      <c r="J8" s="147" t="s">
        <v>20</v>
      </c>
      <c r="K8" s="149" t="s">
        <v>18</v>
      </c>
    </row>
    <row r="9" spans="1:11" s="80" customFormat="1" x14ac:dyDescent="0.25">
      <c r="A9" s="147">
        <v>4</v>
      </c>
      <c r="B9" s="147" t="s">
        <v>14</v>
      </c>
      <c r="C9" s="147" t="s">
        <v>22</v>
      </c>
      <c r="D9" s="148"/>
      <c r="E9" s="148">
        <v>5</v>
      </c>
      <c r="F9" s="148"/>
      <c r="G9" s="148"/>
      <c r="H9" s="148" t="s">
        <v>16</v>
      </c>
      <c r="I9" s="148"/>
      <c r="J9" s="150" t="s">
        <v>23</v>
      </c>
      <c r="K9" s="88" t="s">
        <v>24</v>
      </c>
    </row>
    <row r="10" spans="1:11" s="80" customFormat="1" x14ac:dyDescent="0.25">
      <c r="A10" s="147">
        <v>5</v>
      </c>
      <c r="B10" s="147" t="s">
        <v>25</v>
      </c>
      <c r="C10" s="147" t="s">
        <v>26</v>
      </c>
      <c r="D10" s="148"/>
      <c r="E10" s="148"/>
      <c r="F10" s="148">
        <v>10</v>
      </c>
      <c r="G10" s="148" t="s">
        <v>16</v>
      </c>
      <c r="H10" s="148"/>
      <c r="I10" s="148"/>
      <c r="J10" s="150" t="s">
        <v>27</v>
      </c>
      <c r="K10" s="88" t="s">
        <v>28</v>
      </c>
    </row>
    <row r="11" spans="1:11" s="80" customFormat="1" x14ac:dyDescent="0.25">
      <c r="A11" s="147">
        <v>6</v>
      </c>
      <c r="B11" s="147" t="s">
        <v>25</v>
      </c>
      <c r="C11" s="147" t="s">
        <v>29</v>
      </c>
      <c r="D11" s="148"/>
      <c r="E11" s="148"/>
      <c r="F11" s="148">
        <v>6</v>
      </c>
      <c r="G11" s="148" t="s">
        <v>16</v>
      </c>
      <c r="H11" s="148"/>
      <c r="I11" s="148"/>
      <c r="J11" s="150" t="s">
        <v>27</v>
      </c>
      <c r="K11" s="88" t="s">
        <v>28</v>
      </c>
    </row>
    <row r="12" spans="1:11" s="80" customFormat="1" x14ac:dyDescent="0.25">
      <c r="A12" s="147">
        <v>7</v>
      </c>
      <c r="B12" s="151" t="s">
        <v>25</v>
      </c>
      <c r="C12" s="151" t="s">
        <v>30</v>
      </c>
      <c r="D12" s="152"/>
      <c r="E12" s="152"/>
      <c r="F12" s="152">
        <v>5</v>
      </c>
      <c r="G12" s="148" t="s">
        <v>16</v>
      </c>
      <c r="H12" s="152"/>
      <c r="I12" s="152"/>
      <c r="J12" s="150" t="s">
        <v>27</v>
      </c>
      <c r="K12" s="79" t="s">
        <v>31</v>
      </c>
    </row>
    <row r="13" spans="1:11" s="80" customFormat="1" x14ac:dyDescent="0.25">
      <c r="A13" s="147">
        <v>8</v>
      </c>
      <c r="B13" s="151" t="s">
        <v>25</v>
      </c>
      <c r="C13" s="151" t="s">
        <v>32</v>
      </c>
      <c r="D13" s="152"/>
      <c r="E13" s="152"/>
      <c r="F13" s="152">
        <v>4</v>
      </c>
      <c r="G13" s="148" t="s">
        <v>16</v>
      </c>
      <c r="H13" s="152"/>
      <c r="I13" s="152"/>
      <c r="J13" s="150" t="s">
        <v>27</v>
      </c>
      <c r="K13" s="79" t="s">
        <v>31</v>
      </c>
    </row>
    <row r="14" spans="1:11" s="80" customFormat="1" x14ac:dyDescent="0.25">
      <c r="A14" s="147">
        <v>9</v>
      </c>
      <c r="B14" s="151" t="s">
        <v>25</v>
      </c>
      <c r="C14" s="151" t="s">
        <v>33</v>
      </c>
      <c r="D14" s="152"/>
      <c r="E14" s="152"/>
      <c r="F14" s="152">
        <v>1</v>
      </c>
      <c r="G14" s="148" t="s">
        <v>16</v>
      </c>
      <c r="H14" s="152"/>
      <c r="I14" s="152"/>
      <c r="J14" s="150" t="s">
        <v>27</v>
      </c>
      <c r="K14" s="79" t="s">
        <v>34</v>
      </c>
    </row>
    <row r="15" spans="1:11" s="80" customFormat="1" x14ac:dyDescent="0.25">
      <c r="A15" s="147">
        <v>10</v>
      </c>
      <c r="B15" s="151" t="s">
        <v>25</v>
      </c>
      <c r="C15" s="151" t="s">
        <v>35</v>
      </c>
      <c r="D15" s="152"/>
      <c r="E15" s="152"/>
      <c r="F15" s="152">
        <v>11</v>
      </c>
      <c r="G15" s="148" t="s">
        <v>16</v>
      </c>
      <c r="H15" s="152"/>
      <c r="I15" s="152"/>
      <c r="J15" s="150" t="s">
        <v>27</v>
      </c>
      <c r="K15" s="79" t="s">
        <v>36</v>
      </c>
    </row>
    <row r="16" spans="1:11" s="80" customFormat="1" x14ac:dyDescent="0.25">
      <c r="A16" s="147">
        <v>11</v>
      </c>
      <c r="B16" s="151" t="s">
        <v>25</v>
      </c>
      <c r="C16" s="151" t="s">
        <v>37</v>
      </c>
      <c r="D16" s="152"/>
      <c r="E16" s="152"/>
      <c r="F16" s="152">
        <v>7</v>
      </c>
      <c r="G16" s="148" t="s">
        <v>16</v>
      </c>
      <c r="H16" s="152"/>
      <c r="I16" s="152"/>
      <c r="J16" s="150" t="s">
        <v>27</v>
      </c>
      <c r="K16" s="79" t="s">
        <v>36</v>
      </c>
    </row>
    <row r="17" spans="1:11" s="80" customFormat="1" x14ac:dyDescent="0.25">
      <c r="A17" s="147">
        <v>12</v>
      </c>
      <c r="B17" s="151" t="s">
        <v>25</v>
      </c>
      <c r="C17" s="151" t="s">
        <v>38</v>
      </c>
      <c r="D17" s="152"/>
      <c r="E17" s="152"/>
      <c r="F17" s="152">
        <v>1</v>
      </c>
      <c r="G17" s="148" t="s">
        <v>16</v>
      </c>
      <c r="H17" s="152"/>
      <c r="I17" s="152"/>
      <c r="J17" s="150" t="s">
        <v>27</v>
      </c>
      <c r="K17" s="79" t="s">
        <v>36</v>
      </c>
    </row>
    <row r="18" spans="1:11" s="80" customFormat="1" x14ac:dyDescent="0.25">
      <c r="A18" s="147">
        <v>13</v>
      </c>
      <c r="B18" s="151" t="s">
        <v>25</v>
      </c>
      <c r="C18" s="151" t="s">
        <v>39</v>
      </c>
      <c r="D18" s="152"/>
      <c r="E18" s="152"/>
      <c r="F18" s="152">
        <v>1</v>
      </c>
      <c r="G18" s="148" t="s">
        <v>16</v>
      </c>
      <c r="H18" s="152"/>
      <c r="I18" s="152"/>
      <c r="J18" s="150" t="s">
        <v>27</v>
      </c>
      <c r="K18" s="79" t="s">
        <v>40</v>
      </c>
    </row>
    <row r="19" spans="1:11" s="80" customFormat="1" x14ac:dyDescent="0.25">
      <c r="A19" s="147">
        <v>14</v>
      </c>
      <c r="B19" s="151" t="s">
        <v>25</v>
      </c>
      <c r="C19" s="151" t="s">
        <v>41</v>
      </c>
      <c r="D19" s="152"/>
      <c r="E19" s="152"/>
      <c r="F19" s="152">
        <v>3</v>
      </c>
      <c r="G19" s="148" t="s">
        <v>16</v>
      </c>
      <c r="H19" s="152"/>
      <c r="I19" s="152"/>
      <c r="J19" s="150" t="s">
        <v>27</v>
      </c>
      <c r="K19" s="79" t="s">
        <v>42</v>
      </c>
    </row>
    <row r="20" spans="1:11" s="80" customFormat="1" x14ac:dyDescent="0.25">
      <c r="A20" s="147">
        <v>15</v>
      </c>
      <c r="B20" s="151" t="s">
        <v>25</v>
      </c>
      <c r="C20" s="151" t="s">
        <v>43</v>
      </c>
      <c r="D20" s="152"/>
      <c r="E20" s="152">
        <v>3</v>
      </c>
      <c r="F20" s="152"/>
      <c r="G20" s="148" t="s">
        <v>16</v>
      </c>
      <c r="H20" s="152"/>
      <c r="I20" s="152"/>
      <c r="J20" s="150" t="s">
        <v>27</v>
      </c>
      <c r="K20" s="79" t="s">
        <v>42</v>
      </c>
    </row>
    <row r="21" spans="1:11" s="80" customFormat="1" x14ac:dyDescent="0.25">
      <c r="A21" s="147">
        <v>16</v>
      </c>
      <c r="B21" s="151" t="s">
        <v>25</v>
      </c>
      <c r="C21" s="151" t="s">
        <v>44</v>
      </c>
      <c r="D21" s="152"/>
      <c r="E21" s="152">
        <v>1</v>
      </c>
      <c r="F21" s="152"/>
      <c r="G21" s="148" t="s">
        <v>16</v>
      </c>
      <c r="H21" s="152"/>
      <c r="I21" s="152"/>
      <c r="J21" s="150" t="s">
        <v>27</v>
      </c>
      <c r="K21" s="79" t="s">
        <v>42</v>
      </c>
    </row>
    <row r="22" spans="1:11" s="80" customFormat="1" x14ac:dyDescent="0.25">
      <c r="A22" s="147">
        <v>17</v>
      </c>
      <c r="B22" s="151" t="s">
        <v>45</v>
      </c>
      <c r="C22" s="151" t="s">
        <v>46</v>
      </c>
      <c r="D22" s="152"/>
      <c r="E22" s="152"/>
      <c r="F22" s="152">
        <v>23</v>
      </c>
      <c r="G22" s="152" t="s">
        <v>47</v>
      </c>
      <c r="H22" s="152"/>
      <c r="I22" s="152"/>
      <c r="J22" s="153" t="s">
        <v>27</v>
      </c>
      <c r="K22" s="79" t="s">
        <v>48</v>
      </c>
    </row>
    <row r="23" spans="1:11" s="80" customFormat="1" x14ac:dyDescent="0.25">
      <c r="A23" s="147">
        <v>18</v>
      </c>
      <c r="B23" s="151" t="s">
        <v>49</v>
      </c>
      <c r="C23" s="151" t="s">
        <v>50</v>
      </c>
      <c r="D23" s="152"/>
      <c r="E23" s="152"/>
      <c r="F23" s="152">
        <v>34</v>
      </c>
      <c r="G23" s="154" t="s">
        <v>16</v>
      </c>
      <c r="H23" s="154" t="s">
        <v>16</v>
      </c>
      <c r="I23" s="152"/>
      <c r="J23" s="153" t="s">
        <v>27</v>
      </c>
      <c r="K23" s="79" t="s">
        <v>51</v>
      </c>
    </row>
    <row r="24" spans="1:11" s="80" customFormat="1" x14ac:dyDescent="0.25">
      <c r="A24" s="147">
        <v>19</v>
      </c>
      <c r="B24" s="151" t="s">
        <v>49</v>
      </c>
      <c r="C24" s="151" t="s">
        <v>52</v>
      </c>
      <c r="D24" s="152"/>
      <c r="E24" s="152"/>
      <c r="F24" s="152">
        <v>30</v>
      </c>
      <c r="G24" s="154" t="s">
        <v>16</v>
      </c>
      <c r="H24" s="152"/>
      <c r="I24" s="152"/>
      <c r="J24" s="153" t="s">
        <v>27</v>
      </c>
      <c r="K24" s="79" t="s">
        <v>51</v>
      </c>
    </row>
    <row r="25" spans="1:11" s="80" customFormat="1" x14ac:dyDescent="0.25">
      <c r="A25" s="147">
        <v>20</v>
      </c>
      <c r="B25" s="151" t="s">
        <v>45</v>
      </c>
      <c r="C25" s="151" t="s">
        <v>53</v>
      </c>
      <c r="D25" s="152"/>
      <c r="E25" s="152"/>
      <c r="F25" s="152">
        <v>17</v>
      </c>
      <c r="G25" s="152" t="s">
        <v>47</v>
      </c>
      <c r="H25" s="152"/>
      <c r="I25" s="152"/>
      <c r="J25" s="80" t="s">
        <v>27</v>
      </c>
      <c r="K25" s="146" t="s">
        <v>55</v>
      </c>
    </row>
    <row r="26" spans="1:11" s="80" customFormat="1" x14ac:dyDescent="0.25">
      <c r="A26" s="147">
        <v>21</v>
      </c>
      <c r="B26" s="151" t="s">
        <v>45</v>
      </c>
      <c r="C26" s="151" t="s">
        <v>54</v>
      </c>
      <c r="D26" s="152"/>
      <c r="E26" s="152"/>
      <c r="F26" s="152"/>
      <c r="G26" s="152"/>
      <c r="H26" s="152"/>
      <c r="I26" s="152"/>
      <c r="J26" s="153"/>
      <c r="K26" s="79" t="s">
        <v>55</v>
      </c>
    </row>
    <row r="27" spans="1:11" s="80" customFormat="1" x14ac:dyDescent="0.25">
      <c r="A27" s="147">
        <v>22</v>
      </c>
      <c r="B27" s="151" t="s">
        <v>56</v>
      </c>
      <c r="C27" s="151" t="s">
        <v>57</v>
      </c>
      <c r="D27" s="152"/>
      <c r="E27" s="152"/>
      <c r="F27" s="152">
        <v>65</v>
      </c>
      <c r="G27" s="154" t="s">
        <v>16</v>
      </c>
      <c r="H27" s="152"/>
      <c r="I27" s="152"/>
      <c r="J27" s="153" t="s">
        <v>27</v>
      </c>
      <c r="K27" s="79" t="s">
        <v>58</v>
      </c>
    </row>
    <row r="28" spans="1:11" s="80" customFormat="1" x14ac:dyDescent="0.25">
      <c r="A28" s="147">
        <v>23</v>
      </c>
      <c r="B28" s="151" t="s">
        <v>45</v>
      </c>
      <c r="C28" s="151" t="s">
        <v>59</v>
      </c>
      <c r="D28" s="152"/>
      <c r="E28" s="152"/>
      <c r="F28" s="152">
        <v>49</v>
      </c>
      <c r="G28" s="154" t="s">
        <v>16</v>
      </c>
      <c r="H28" s="152"/>
      <c r="I28" s="152"/>
      <c r="J28" s="153" t="s">
        <v>27</v>
      </c>
      <c r="K28" s="79" t="s">
        <v>60</v>
      </c>
    </row>
    <row r="29" spans="1:11" s="80" customFormat="1" x14ac:dyDescent="0.25">
      <c r="A29" s="147">
        <v>24</v>
      </c>
      <c r="B29" s="151" t="s">
        <v>45</v>
      </c>
      <c r="C29" s="151" t="s">
        <v>61</v>
      </c>
      <c r="D29" s="152"/>
      <c r="E29" s="152"/>
      <c r="F29" s="152"/>
      <c r="G29" s="152"/>
      <c r="H29" s="152"/>
      <c r="I29" s="152"/>
      <c r="J29" s="153"/>
      <c r="K29" s="79" t="s">
        <v>48</v>
      </c>
    </row>
    <row r="30" spans="1:11" s="80" customFormat="1" x14ac:dyDescent="0.25">
      <c r="A30" s="147">
        <v>25</v>
      </c>
      <c r="B30" s="151" t="s">
        <v>45</v>
      </c>
      <c r="C30" s="151" t="s">
        <v>62</v>
      </c>
      <c r="D30" s="152"/>
      <c r="E30" s="152"/>
      <c r="F30" s="152">
        <v>153</v>
      </c>
      <c r="G30" s="154" t="s">
        <v>16</v>
      </c>
      <c r="H30" s="152"/>
      <c r="I30" s="152"/>
      <c r="J30" s="153" t="s">
        <v>27</v>
      </c>
      <c r="K30" s="146" t="s">
        <v>1653</v>
      </c>
    </row>
    <row r="31" spans="1:11" s="80" customFormat="1" x14ac:dyDescent="0.25">
      <c r="A31" s="147">
        <v>26</v>
      </c>
      <c r="B31" s="151" t="s">
        <v>56</v>
      </c>
      <c r="C31" s="151" t="s">
        <v>63</v>
      </c>
      <c r="D31" s="152"/>
      <c r="E31" s="152"/>
      <c r="F31" s="152">
        <v>21</v>
      </c>
      <c r="G31" s="154" t="s">
        <v>16</v>
      </c>
      <c r="H31" s="152"/>
      <c r="I31" s="152"/>
      <c r="J31" s="153" t="s">
        <v>27</v>
      </c>
      <c r="K31" s="79" t="s">
        <v>64</v>
      </c>
    </row>
    <row r="32" spans="1:11" s="80" customFormat="1" x14ac:dyDescent="0.25">
      <c r="A32" s="147">
        <v>27</v>
      </c>
      <c r="B32" s="151" t="s">
        <v>56</v>
      </c>
      <c r="C32" s="151" t="s">
        <v>65</v>
      </c>
      <c r="D32" s="152"/>
      <c r="E32" s="152"/>
      <c r="F32" s="152">
        <v>35</v>
      </c>
      <c r="G32" s="154" t="s">
        <v>16</v>
      </c>
      <c r="H32" s="152"/>
      <c r="I32" s="152"/>
      <c r="J32" s="153" t="s">
        <v>27</v>
      </c>
      <c r="K32" s="79" t="s">
        <v>64</v>
      </c>
    </row>
    <row r="33" spans="1:11" s="80" customFormat="1" x14ac:dyDescent="0.25">
      <c r="A33" s="147">
        <v>28</v>
      </c>
      <c r="B33" s="155" t="s">
        <v>66</v>
      </c>
      <c r="C33" s="155" t="s">
        <v>67</v>
      </c>
      <c r="D33" s="154"/>
      <c r="E33" s="154"/>
      <c r="F33" s="154"/>
      <c r="G33" s="154" t="s">
        <v>16</v>
      </c>
      <c r="H33" s="154"/>
      <c r="I33" s="154"/>
      <c r="J33" s="156" t="s">
        <v>68</v>
      </c>
      <c r="K33" s="157" t="s">
        <v>69</v>
      </c>
    </row>
    <row r="34" spans="1:11" s="80" customFormat="1" x14ac:dyDescent="0.25">
      <c r="A34" s="147">
        <v>29</v>
      </c>
      <c r="B34" s="155" t="s">
        <v>66</v>
      </c>
      <c r="C34" s="155" t="s">
        <v>70</v>
      </c>
      <c r="D34" s="154"/>
      <c r="E34" s="154"/>
      <c r="F34" s="154"/>
      <c r="G34" s="154" t="s">
        <v>16</v>
      </c>
      <c r="H34" s="154"/>
      <c r="I34" s="154"/>
      <c r="J34" s="156" t="s">
        <v>68</v>
      </c>
      <c r="K34" s="157" t="s">
        <v>69</v>
      </c>
    </row>
    <row r="35" spans="1:11" s="80" customFormat="1" x14ac:dyDescent="0.25">
      <c r="A35" s="147">
        <v>30</v>
      </c>
      <c r="B35" s="155" t="s">
        <v>66</v>
      </c>
      <c r="C35" s="155" t="s">
        <v>71</v>
      </c>
      <c r="D35" s="154"/>
      <c r="E35" s="154"/>
      <c r="F35" s="154"/>
      <c r="G35" s="154" t="s">
        <v>16</v>
      </c>
      <c r="H35" s="154"/>
      <c r="I35" s="154"/>
      <c r="J35" s="156" t="s">
        <v>68</v>
      </c>
      <c r="K35" s="157" t="s">
        <v>72</v>
      </c>
    </row>
    <row r="36" spans="1:11" s="80" customFormat="1" x14ac:dyDescent="0.25">
      <c r="A36" s="147">
        <v>31</v>
      </c>
      <c r="B36" s="155" t="s">
        <v>66</v>
      </c>
      <c r="C36" s="155" t="s">
        <v>73</v>
      </c>
      <c r="D36" s="154"/>
      <c r="E36" s="154"/>
      <c r="F36" s="154"/>
      <c r="G36" s="154" t="s">
        <v>16</v>
      </c>
      <c r="H36" s="154"/>
      <c r="I36" s="154"/>
      <c r="J36" s="156" t="s">
        <v>68</v>
      </c>
      <c r="K36" s="157" t="s">
        <v>72</v>
      </c>
    </row>
    <row r="37" spans="1:11" s="80" customFormat="1" x14ac:dyDescent="0.25">
      <c r="A37" s="147">
        <v>32</v>
      </c>
      <c r="B37" s="155" t="s">
        <v>66</v>
      </c>
      <c r="C37" s="155" t="s">
        <v>74</v>
      </c>
      <c r="D37" s="154"/>
      <c r="E37" s="154"/>
      <c r="F37" s="154"/>
      <c r="G37" s="154" t="s">
        <v>16</v>
      </c>
      <c r="H37" s="154"/>
      <c r="I37" s="154"/>
      <c r="J37" s="156" t="s">
        <v>68</v>
      </c>
      <c r="K37" s="157" t="s">
        <v>75</v>
      </c>
    </row>
    <row r="38" spans="1:11" s="80" customFormat="1" x14ac:dyDescent="0.25">
      <c r="A38" s="147">
        <v>33</v>
      </c>
      <c r="B38" s="155" t="s">
        <v>66</v>
      </c>
      <c r="C38" s="155" t="s">
        <v>76</v>
      </c>
      <c r="D38" s="154"/>
      <c r="E38" s="154"/>
      <c r="F38" s="154"/>
      <c r="G38" s="154" t="s">
        <v>16</v>
      </c>
      <c r="H38" s="154"/>
      <c r="I38" s="154"/>
      <c r="J38" s="156" t="s">
        <v>68</v>
      </c>
      <c r="K38" s="157" t="s">
        <v>75</v>
      </c>
    </row>
    <row r="39" spans="1:11" s="80" customFormat="1" x14ac:dyDescent="0.25">
      <c r="A39" s="147">
        <v>34</v>
      </c>
      <c r="B39" s="155" t="s">
        <v>66</v>
      </c>
      <c r="C39" s="155" t="s">
        <v>77</v>
      </c>
      <c r="D39" s="154"/>
      <c r="E39" s="154"/>
      <c r="F39" s="154"/>
      <c r="G39" s="154" t="s">
        <v>16</v>
      </c>
      <c r="H39" s="154"/>
      <c r="I39" s="154"/>
      <c r="J39" s="156" t="s">
        <v>68</v>
      </c>
      <c r="K39" s="157" t="s">
        <v>78</v>
      </c>
    </row>
    <row r="40" spans="1:11" s="80" customFormat="1" x14ac:dyDescent="0.25">
      <c r="A40" s="147">
        <v>35</v>
      </c>
      <c r="B40" s="155" t="s">
        <v>66</v>
      </c>
      <c r="C40" s="155" t="s">
        <v>79</v>
      </c>
      <c r="D40" s="154"/>
      <c r="E40" s="154"/>
      <c r="F40" s="154"/>
      <c r="G40" s="154" t="s">
        <v>16</v>
      </c>
      <c r="H40" s="154"/>
      <c r="I40" s="154"/>
      <c r="J40" s="156" t="s">
        <v>68</v>
      </c>
      <c r="K40" s="157" t="s">
        <v>78</v>
      </c>
    </row>
    <row r="41" spans="1:11" s="80" customFormat="1" x14ac:dyDescent="0.25">
      <c r="A41" s="147">
        <v>36</v>
      </c>
      <c r="B41" s="155" t="s">
        <v>66</v>
      </c>
      <c r="C41" s="155" t="s">
        <v>80</v>
      </c>
      <c r="D41" s="154"/>
      <c r="E41" s="154"/>
      <c r="F41" s="154"/>
      <c r="G41" s="154" t="s">
        <v>16</v>
      </c>
      <c r="H41" s="154"/>
      <c r="I41" s="154"/>
      <c r="J41" s="156" t="s">
        <v>68</v>
      </c>
      <c r="K41" s="157" t="s">
        <v>81</v>
      </c>
    </row>
    <row r="42" spans="1:11" s="80" customFormat="1" x14ac:dyDescent="0.25">
      <c r="A42" s="147">
        <v>37</v>
      </c>
      <c r="B42" s="155" t="s">
        <v>66</v>
      </c>
      <c r="C42" s="155" t="s">
        <v>82</v>
      </c>
      <c r="D42" s="154"/>
      <c r="E42" s="154"/>
      <c r="F42" s="154"/>
      <c r="G42" s="154" t="s">
        <v>16</v>
      </c>
      <c r="H42" s="154"/>
      <c r="I42" s="154"/>
      <c r="J42" s="156" t="s">
        <v>68</v>
      </c>
      <c r="K42" s="157" t="s">
        <v>81</v>
      </c>
    </row>
    <row r="43" spans="1:11" s="80" customFormat="1" x14ac:dyDescent="0.25">
      <c r="A43" s="147">
        <v>38</v>
      </c>
      <c r="B43" s="151" t="s">
        <v>83</v>
      </c>
      <c r="C43" s="151" t="s">
        <v>84</v>
      </c>
      <c r="D43" s="152"/>
      <c r="E43" s="152"/>
      <c r="F43" s="152">
        <v>139</v>
      </c>
      <c r="G43" s="148" t="s">
        <v>16</v>
      </c>
      <c r="H43" s="152"/>
      <c r="I43" s="152"/>
      <c r="J43" s="153" t="s">
        <v>85</v>
      </c>
      <c r="K43" s="79" t="s">
        <v>86</v>
      </c>
    </row>
    <row r="44" spans="1:11" s="80" customFormat="1" x14ac:dyDescent="0.25">
      <c r="A44" s="147">
        <v>39</v>
      </c>
      <c r="B44" s="151" t="s">
        <v>83</v>
      </c>
      <c r="C44" s="151" t="s">
        <v>87</v>
      </c>
      <c r="D44" s="152"/>
      <c r="E44" s="152"/>
      <c r="F44" s="152">
        <v>60</v>
      </c>
      <c r="G44" s="148" t="s">
        <v>16</v>
      </c>
      <c r="H44" s="152"/>
      <c r="I44" s="152"/>
      <c r="J44" s="153" t="s">
        <v>85</v>
      </c>
      <c r="K44" s="79" t="s">
        <v>86</v>
      </c>
    </row>
    <row r="45" spans="1:11" s="80" customFormat="1" x14ac:dyDescent="0.25">
      <c r="A45" s="147">
        <v>40</v>
      </c>
      <c r="B45" s="151" t="s">
        <v>83</v>
      </c>
      <c r="C45" s="151" t="s">
        <v>88</v>
      </c>
      <c r="D45" s="152"/>
      <c r="E45" s="152"/>
      <c r="F45" s="152"/>
      <c r="G45" s="148" t="s">
        <v>16</v>
      </c>
      <c r="H45" s="152"/>
      <c r="I45" s="152"/>
      <c r="J45" s="153" t="s">
        <v>85</v>
      </c>
      <c r="K45" s="79" t="s">
        <v>86</v>
      </c>
    </row>
    <row r="46" spans="1:11" s="80" customFormat="1" x14ac:dyDescent="0.25">
      <c r="A46" s="147">
        <v>41</v>
      </c>
      <c r="B46" s="151" t="s">
        <v>45</v>
      </c>
      <c r="C46" s="151" t="s">
        <v>89</v>
      </c>
      <c r="D46" s="152"/>
      <c r="E46" s="152"/>
      <c r="F46" s="152">
        <v>20</v>
      </c>
      <c r="G46" s="148" t="s">
        <v>16</v>
      </c>
      <c r="H46" s="152"/>
      <c r="I46" s="152"/>
      <c r="J46" s="153" t="s">
        <v>85</v>
      </c>
      <c r="K46" s="79" t="s">
        <v>90</v>
      </c>
    </row>
    <row r="47" spans="1:11" s="80" customFormat="1" x14ac:dyDescent="0.25">
      <c r="A47" s="147">
        <v>42</v>
      </c>
      <c r="B47" s="151" t="s">
        <v>91</v>
      </c>
      <c r="C47" s="151" t="s">
        <v>92</v>
      </c>
      <c r="D47" s="152">
        <v>81</v>
      </c>
      <c r="E47" s="152"/>
      <c r="F47" s="152"/>
      <c r="G47" s="148" t="s">
        <v>16</v>
      </c>
      <c r="H47" s="152"/>
      <c r="I47" s="152"/>
      <c r="J47" s="162" t="s">
        <v>93</v>
      </c>
      <c r="K47" s="79" t="s">
        <v>94</v>
      </c>
    </row>
    <row r="48" spans="1:11" s="80" customFormat="1" x14ac:dyDescent="0.25">
      <c r="A48" s="147">
        <v>43</v>
      </c>
      <c r="B48" s="151" t="s">
        <v>91</v>
      </c>
      <c r="C48" s="151" t="s">
        <v>95</v>
      </c>
      <c r="D48" s="152">
        <v>94</v>
      </c>
      <c r="E48" s="152"/>
      <c r="F48" s="152"/>
      <c r="G48" s="148" t="s">
        <v>16</v>
      </c>
      <c r="H48" s="152"/>
      <c r="I48" s="152"/>
      <c r="J48" s="163"/>
      <c r="K48" s="79" t="s">
        <v>94</v>
      </c>
    </row>
    <row r="49" spans="1:11" s="80" customFormat="1" ht="45.75" customHeight="1" x14ac:dyDescent="0.25">
      <c r="A49" s="147">
        <v>44</v>
      </c>
      <c r="B49" s="151" t="s">
        <v>56</v>
      </c>
      <c r="C49" s="151" t="s">
        <v>96</v>
      </c>
      <c r="D49" s="152">
        <v>75</v>
      </c>
      <c r="E49" s="152"/>
      <c r="F49" s="152">
        <v>220</v>
      </c>
      <c r="G49" s="154" t="s">
        <v>16</v>
      </c>
      <c r="H49" s="154" t="s">
        <v>16</v>
      </c>
      <c r="I49" s="152"/>
      <c r="J49" s="158" t="s">
        <v>97</v>
      </c>
      <c r="K49" s="79" t="s">
        <v>98</v>
      </c>
    </row>
    <row r="50" spans="1:11" s="80" customFormat="1" x14ac:dyDescent="0.25">
      <c r="A50" s="147">
        <v>45</v>
      </c>
      <c r="B50" s="151" t="s">
        <v>45</v>
      </c>
      <c r="C50" s="151" t="s">
        <v>99</v>
      </c>
      <c r="D50" s="152"/>
      <c r="E50" s="152"/>
      <c r="F50" s="152">
        <v>82</v>
      </c>
      <c r="G50" s="152" t="s">
        <v>16</v>
      </c>
      <c r="H50" s="152"/>
      <c r="I50" s="152"/>
      <c r="J50" s="153" t="s">
        <v>27</v>
      </c>
      <c r="K50" s="79" t="s">
        <v>100</v>
      </c>
    </row>
    <row r="51" spans="1:11" s="80" customFormat="1" x14ac:dyDescent="0.25">
      <c r="A51" s="147">
        <v>46</v>
      </c>
      <c r="B51" s="151" t="s">
        <v>101</v>
      </c>
      <c r="C51" s="151" t="s">
        <v>102</v>
      </c>
      <c r="D51" s="152">
        <v>190</v>
      </c>
      <c r="E51" s="152"/>
      <c r="F51" s="152">
        <v>110</v>
      </c>
      <c r="G51" s="152" t="s">
        <v>47</v>
      </c>
      <c r="H51" s="152"/>
      <c r="I51" s="152"/>
      <c r="J51" s="153" t="s">
        <v>85</v>
      </c>
      <c r="K51" s="79" t="s">
        <v>103</v>
      </c>
    </row>
    <row r="52" spans="1:11" s="80" customFormat="1" x14ac:dyDescent="0.25">
      <c r="A52" s="147">
        <v>47</v>
      </c>
      <c r="B52" s="151" t="s">
        <v>101</v>
      </c>
      <c r="C52" s="151" t="s">
        <v>104</v>
      </c>
      <c r="D52" s="152">
        <v>50</v>
      </c>
      <c r="E52" s="152"/>
      <c r="F52" s="152">
        <v>30</v>
      </c>
      <c r="G52" s="152" t="s">
        <v>47</v>
      </c>
      <c r="H52" s="152"/>
      <c r="I52" s="152"/>
      <c r="J52" s="153" t="s">
        <v>85</v>
      </c>
      <c r="K52" s="79" t="s">
        <v>103</v>
      </c>
    </row>
    <row r="53" spans="1:11" s="80" customFormat="1" x14ac:dyDescent="0.25">
      <c r="A53" s="147">
        <v>48</v>
      </c>
      <c r="B53" s="151" t="s">
        <v>101</v>
      </c>
      <c r="C53" s="151" t="s">
        <v>105</v>
      </c>
      <c r="D53" s="152">
        <v>120</v>
      </c>
      <c r="E53" s="152"/>
      <c r="F53" s="152">
        <v>90</v>
      </c>
      <c r="G53" s="152" t="s">
        <v>47</v>
      </c>
      <c r="H53" s="152"/>
      <c r="I53" s="152"/>
      <c r="J53" s="153" t="s">
        <v>85</v>
      </c>
      <c r="K53" s="79" t="s">
        <v>103</v>
      </c>
    </row>
    <row r="54" spans="1:11" s="80" customFormat="1" ht="135" x14ac:dyDescent="0.25">
      <c r="A54" s="147">
        <v>49</v>
      </c>
      <c r="B54" s="151" t="s">
        <v>83</v>
      </c>
      <c r="C54" s="151" t="s">
        <v>106</v>
      </c>
      <c r="D54" s="152"/>
      <c r="E54" s="152"/>
      <c r="F54" s="152">
        <v>65</v>
      </c>
      <c r="G54" s="152" t="s">
        <v>47</v>
      </c>
      <c r="H54" s="152"/>
      <c r="I54" s="152"/>
      <c r="J54" s="150" t="s">
        <v>107</v>
      </c>
      <c r="K54" s="79" t="s">
        <v>108</v>
      </c>
    </row>
    <row r="55" spans="1:11" s="80" customFormat="1" ht="135" x14ac:dyDescent="0.25">
      <c r="A55" s="147">
        <v>50</v>
      </c>
      <c r="B55" s="151" t="s">
        <v>83</v>
      </c>
      <c r="C55" s="151" t="s">
        <v>83</v>
      </c>
      <c r="D55" s="152"/>
      <c r="E55" s="152"/>
      <c r="F55" s="152">
        <v>35</v>
      </c>
      <c r="G55" s="152" t="s">
        <v>47</v>
      </c>
      <c r="H55" s="152"/>
      <c r="I55" s="152"/>
      <c r="J55" s="150" t="s">
        <v>107</v>
      </c>
      <c r="K55" s="79" t="s">
        <v>108</v>
      </c>
    </row>
    <row r="56" spans="1:11" s="80" customFormat="1" x14ac:dyDescent="0.25">
      <c r="A56" s="147">
        <v>51</v>
      </c>
      <c r="B56" s="151" t="s">
        <v>45</v>
      </c>
      <c r="C56" s="151" t="s">
        <v>109</v>
      </c>
      <c r="D56" s="152"/>
      <c r="E56" s="152"/>
      <c r="F56" s="152" t="s">
        <v>110</v>
      </c>
      <c r="G56" s="152" t="s">
        <v>16</v>
      </c>
      <c r="H56" s="152"/>
      <c r="I56" s="152"/>
      <c r="J56" s="153" t="s">
        <v>27</v>
      </c>
      <c r="K56" s="79" t="s">
        <v>111</v>
      </c>
    </row>
    <row r="57" spans="1:11" s="80" customFormat="1" x14ac:dyDescent="0.25">
      <c r="A57" s="147">
        <v>52</v>
      </c>
      <c r="B57" s="151" t="s">
        <v>112</v>
      </c>
      <c r="C57" s="151" t="s">
        <v>113</v>
      </c>
      <c r="D57" s="152"/>
      <c r="E57" s="152"/>
      <c r="F57" s="159">
        <v>67</v>
      </c>
      <c r="G57" s="152" t="s">
        <v>114</v>
      </c>
      <c r="H57" s="152"/>
      <c r="I57" s="152"/>
      <c r="J57" s="153" t="s">
        <v>85</v>
      </c>
      <c r="K57" s="79" t="s">
        <v>115</v>
      </c>
    </row>
    <row r="58" spans="1:11" s="80" customFormat="1" x14ac:dyDescent="0.25">
      <c r="A58" s="147">
        <v>53</v>
      </c>
      <c r="B58" s="151" t="s">
        <v>91</v>
      </c>
      <c r="C58" s="80" t="s">
        <v>116</v>
      </c>
      <c r="D58" s="152">
        <v>35</v>
      </c>
      <c r="E58" s="152"/>
      <c r="F58" s="152"/>
      <c r="G58" s="152" t="s">
        <v>114</v>
      </c>
      <c r="H58" s="152"/>
      <c r="I58" s="152"/>
      <c r="J58" s="162" t="s">
        <v>117</v>
      </c>
      <c r="K58" s="79" t="s">
        <v>118</v>
      </c>
    </row>
    <row r="59" spans="1:11" s="80" customFormat="1" x14ac:dyDescent="0.25">
      <c r="A59" s="147">
        <v>54</v>
      </c>
      <c r="B59" s="151" t="s">
        <v>91</v>
      </c>
      <c r="C59" s="151" t="s">
        <v>119</v>
      </c>
      <c r="D59" s="152">
        <v>250</v>
      </c>
      <c r="E59" s="152"/>
      <c r="F59" s="152"/>
      <c r="G59" s="152" t="s">
        <v>114</v>
      </c>
      <c r="H59" s="152"/>
      <c r="I59" s="152"/>
      <c r="J59" s="163"/>
      <c r="K59" s="79" t="s">
        <v>118</v>
      </c>
    </row>
    <row r="60" spans="1:11" s="80" customFormat="1" x14ac:dyDescent="0.25">
      <c r="A60" s="147">
        <v>55</v>
      </c>
      <c r="B60" s="151" t="s">
        <v>91</v>
      </c>
      <c r="C60" s="151" t="s">
        <v>120</v>
      </c>
      <c r="D60" s="152">
        <v>50</v>
      </c>
      <c r="E60" s="152"/>
      <c r="F60" s="152"/>
      <c r="G60" s="152" t="s">
        <v>114</v>
      </c>
      <c r="H60" s="152"/>
      <c r="I60" s="152"/>
      <c r="J60" s="162" t="s">
        <v>117</v>
      </c>
      <c r="K60" s="79" t="s">
        <v>121</v>
      </c>
    </row>
    <row r="61" spans="1:11" s="80" customFormat="1" x14ac:dyDescent="0.25">
      <c r="A61" s="147">
        <v>56</v>
      </c>
      <c r="B61" s="151" t="s">
        <v>91</v>
      </c>
      <c r="C61" s="151" t="s">
        <v>122</v>
      </c>
      <c r="D61" s="152">
        <v>154</v>
      </c>
      <c r="E61" s="152"/>
      <c r="F61" s="152"/>
      <c r="G61" s="152" t="s">
        <v>114</v>
      </c>
      <c r="H61" s="152"/>
      <c r="I61" s="152"/>
      <c r="J61" s="163"/>
      <c r="K61" s="79" t="s">
        <v>121</v>
      </c>
    </row>
    <row r="62" spans="1:11" s="80" customFormat="1" x14ac:dyDescent="0.25">
      <c r="A62" s="147">
        <v>57</v>
      </c>
      <c r="B62" s="151" t="s">
        <v>14</v>
      </c>
      <c r="C62" s="151" t="s">
        <v>123</v>
      </c>
      <c r="D62" s="152"/>
      <c r="E62" s="152">
        <v>3</v>
      </c>
      <c r="F62" s="152"/>
      <c r="G62" s="152"/>
      <c r="H62" s="152"/>
      <c r="I62" s="152"/>
      <c r="J62" s="153" t="s">
        <v>124</v>
      </c>
      <c r="K62" s="79" t="s">
        <v>125</v>
      </c>
    </row>
    <row r="63" spans="1:11" s="80" customFormat="1" x14ac:dyDescent="0.25">
      <c r="A63" s="147">
        <v>58</v>
      </c>
      <c r="B63" s="151" t="s">
        <v>14</v>
      </c>
      <c r="C63" s="151" t="s">
        <v>126</v>
      </c>
      <c r="D63" s="152"/>
      <c r="E63" s="152">
        <v>5</v>
      </c>
      <c r="F63" s="152"/>
      <c r="G63" s="152"/>
      <c r="H63" s="152"/>
      <c r="I63" s="152"/>
      <c r="J63" s="153" t="s">
        <v>124</v>
      </c>
      <c r="K63" s="79" t="s">
        <v>125</v>
      </c>
    </row>
    <row r="64" spans="1:11" s="80" customFormat="1" x14ac:dyDescent="0.25">
      <c r="A64" s="147">
        <v>59</v>
      </c>
      <c r="B64" s="151" t="s">
        <v>14</v>
      </c>
      <c r="C64" s="151" t="s">
        <v>127</v>
      </c>
      <c r="D64" s="152"/>
      <c r="E64" s="152">
        <v>2</v>
      </c>
      <c r="F64" s="152"/>
      <c r="G64" s="152"/>
      <c r="H64" s="152"/>
      <c r="I64" s="152"/>
      <c r="J64" s="153" t="s">
        <v>124</v>
      </c>
      <c r="K64" s="79" t="s">
        <v>125</v>
      </c>
    </row>
    <row r="65" spans="1:11" s="80" customFormat="1" ht="75" x14ac:dyDescent="0.25">
      <c r="A65" s="147">
        <v>60</v>
      </c>
      <c r="B65" s="151" t="s">
        <v>14</v>
      </c>
      <c r="C65" s="151" t="s">
        <v>128</v>
      </c>
      <c r="D65" s="152"/>
      <c r="E65" s="152">
        <v>1</v>
      </c>
      <c r="F65" s="152"/>
      <c r="G65" s="148" t="s">
        <v>16</v>
      </c>
      <c r="H65" s="152"/>
      <c r="I65" s="152"/>
      <c r="J65" s="150" t="s">
        <v>129</v>
      </c>
      <c r="K65" s="79" t="s">
        <v>130</v>
      </c>
    </row>
    <row r="66" spans="1:11" s="80" customFormat="1" x14ac:dyDescent="0.25">
      <c r="A66" s="147">
        <v>61</v>
      </c>
      <c r="B66" s="151" t="s">
        <v>14</v>
      </c>
      <c r="C66" s="151" t="s">
        <v>131</v>
      </c>
      <c r="D66" s="152"/>
      <c r="E66" s="152">
        <v>2</v>
      </c>
      <c r="F66" s="152"/>
      <c r="G66" s="148" t="s">
        <v>16</v>
      </c>
      <c r="H66" s="152"/>
      <c r="I66" s="152"/>
      <c r="J66" s="150" t="s">
        <v>124</v>
      </c>
      <c r="K66" s="79" t="s">
        <v>130</v>
      </c>
    </row>
    <row r="67" spans="1:11" s="80" customFormat="1" x14ac:dyDescent="0.25">
      <c r="A67" s="147">
        <v>62</v>
      </c>
      <c r="B67" s="151" t="s">
        <v>14</v>
      </c>
      <c r="C67" s="151" t="s">
        <v>132</v>
      </c>
      <c r="D67" s="152"/>
      <c r="E67" s="152">
        <v>2</v>
      </c>
      <c r="F67" s="152"/>
      <c r="G67" s="148" t="s">
        <v>16</v>
      </c>
      <c r="H67" s="152"/>
      <c r="I67" s="152"/>
      <c r="J67" s="150" t="s">
        <v>133</v>
      </c>
      <c r="K67" s="79" t="s">
        <v>130</v>
      </c>
    </row>
    <row r="68" spans="1:11" s="80" customFormat="1" x14ac:dyDescent="0.25">
      <c r="A68" s="147">
        <v>63</v>
      </c>
      <c r="B68" s="151" t="s">
        <v>83</v>
      </c>
      <c r="C68" s="151" t="s">
        <v>134</v>
      </c>
      <c r="D68" s="152"/>
      <c r="E68" s="152"/>
      <c r="F68" s="152">
        <v>45</v>
      </c>
      <c r="G68" s="148" t="s">
        <v>16</v>
      </c>
      <c r="H68" s="148" t="s">
        <v>16</v>
      </c>
      <c r="I68" s="152"/>
      <c r="J68" s="150" t="s">
        <v>27</v>
      </c>
      <c r="K68" s="79" t="s">
        <v>135</v>
      </c>
    </row>
    <row r="69" spans="1:11" s="80" customFormat="1" x14ac:dyDescent="0.25">
      <c r="A69" s="147">
        <v>64</v>
      </c>
      <c r="B69" s="151" t="s">
        <v>83</v>
      </c>
      <c r="C69" s="151" t="s">
        <v>136</v>
      </c>
      <c r="D69" s="152"/>
      <c r="E69" s="152"/>
      <c r="F69" s="152">
        <v>10</v>
      </c>
      <c r="G69" s="148" t="s">
        <v>16</v>
      </c>
      <c r="H69" s="152"/>
      <c r="I69" s="152"/>
      <c r="J69" s="153" t="s">
        <v>27</v>
      </c>
      <c r="K69" s="79" t="s">
        <v>135</v>
      </c>
    </row>
    <row r="70" spans="1:11" s="80" customFormat="1" ht="165" x14ac:dyDescent="0.25">
      <c r="A70" s="147">
        <v>65</v>
      </c>
      <c r="B70" s="151" t="s">
        <v>49</v>
      </c>
      <c r="C70" s="151" t="s">
        <v>137</v>
      </c>
      <c r="D70" s="152"/>
      <c r="E70" s="152"/>
      <c r="F70" s="152">
        <v>98</v>
      </c>
      <c r="G70" s="148" t="s">
        <v>16</v>
      </c>
      <c r="H70" s="152"/>
      <c r="I70" s="152"/>
      <c r="J70" s="206" t="s">
        <v>138</v>
      </c>
      <c r="K70" s="79" t="s">
        <v>139</v>
      </c>
    </row>
    <row r="71" spans="1:11" s="80" customFormat="1" x14ac:dyDescent="0.25">
      <c r="A71" s="147">
        <v>66</v>
      </c>
      <c r="B71" s="151" t="s">
        <v>49</v>
      </c>
      <c r="C71" s="151" t="s">
        <v>140</v>
      </c>
      <c r="D71" s="152"/>
      <c r="E71" s="152"/>
      <c r="F71" s="152"/>
      <c r="G71" s="152"/>
      <c r="H71" s="152"/>
      <c r="I71" s="152"/>
      <c r="J71" s="80" t="s">
        <v>141</v>
      </c>
      <c r="K71" s="79" t="s">
        <v>142</v>
      </c>
    </row>
    <row r="72" spans="1:11" s="80" customFormat="1" x14ac:dyDescent="0.25">
      <c r="A72" s="147">
        <v>67</v>
      </c>
      <c r="B72" s="151" t="s">
        <v>49</v>
      </c>
      <c r="C72" s="151" t="s">
        <v>143</v>
      </c>
      <c r="D72" s="152"/>
      <c r="E72" s="152">
        <v>23</v>
      </c>
      <c r="F72" s="152">
        <v>4</v>
      </c>
      <c r="G72" s="152"/>
      <c r="H72" s="148" t="s">
        <v>16</v>
      </c>
      <c r="I72" s="152"/>
      <c r="J72" s="153" t="s">
        <v>144</v>
      </c>
      <c r="K72" s="79" t="s">
        <v>145</v>
      </c>
    </row>
    <row r="73" spans="1:11" s="80" customFormat="1" ht="165" x14ac:dyDescent="0.25">
      <c r="A73" s="147">
        <v>68</v>
      </c>
      <c r="B73" s="151" t="s">
        <v>49</v>
      </c>
      <c r="C73" s="151" t="s">
        <v>146</v>
      </c>
      <c r="D73" s="152"/>
      <c r="E73" s="152">
        <v>8</v>
      </c>
      <c r="F73" s="152">
        <v>50</v>
      </c>
      <c r="G73" s="148" t="s">
        <v>16</v>
      </c>
      <c r="H73" s="152"/>
      <c r="I73" s="152"/>
      <c r="J73" s="147" t="s">
        <v>147</v>
      </c>
      <c r="K73" s="160" t="s">
        <v>145</v>
      </c>
    </row>
    <row r="74" spans="1:11" s="80" customFormat="1" ht="30" x14ac:dyDescent="0.25">
      <c r="A74" s="147">
        <v>69</v>
      </c>
      <c r="B74" s="151" t="s">
        <v>45</v>
      </c>
      <c r="C74" s="151" t="s">
        <v>148</v>
      </c>
      <c r="D74" s="152"/>
      <c r="E74" s="152">
        <v>13</v>
      </c>
      <c r="F74" s="152" t="s">
        <v>149</v>
      </c>
      <c r="G74" s="152" t="s">
        <v>16</v>
      </c>
      <c r="H74" s="152" t="s">
        <v>16</v>
      </c>
      <c r="I74" s="152"/>
      <c r="J74" s="147" t="s">
        <v>150</v>
      </c>
      <c r="K74" s="151" t="s">
        <v>151</v>
      </c>
    </row>
    <row r="75" spans="1:11" s="80" customFormat="1" x14ac:dyDescent="0.25">
      <c r="A75" s="147">
        <v>70</v>
      </c>
      <c r="B75" s="151" t="s">
        <v>152</v>
      </c>
      <c r="C75" s="151" t="s">
        <v>153</v>
      </c>
      <c r="D75" s="152"/>
      <c r="E75" s="152">
        <v>20</v>
      </c>
      <c r="F75" s="152"/>
      <c r="G75" s="152"/>
      <c r="H75" s="152"/>
      <c r="I75" s="152"/>
      <c r="J75" s="147" t="s">
        <v>154</v>
      </c>
      <c r="K75" s="151" t="s">
        <v>155</v>
      </c>
    </row>
    <row r="76" spans="1:11" s="80" customFormat="1" x14ac:dyDescent="0.25">
      <c r="A76" s="147">
        <v>71</v>
      </c>
      <c r="B76" s="151" t="s">
        <v>152</v>
      </c>
      <c r="C76" s="151" t="s">
        <v>156</v>
      </c>
      <c r="D76" s="152"/>
      <c r="E76" s="152">
        <v>6</v>
      </c>
      <c r="F76" s="152"/>
      <c r="G76" s="152"/>
      <c r="H76" s="152"/>
      <c r="I76" s="152"/>
      <c r="J76" s="147" t="s">
        <v>154</v>
      </c>
      <c r="K76" s="151" t="s">
        <v>155</v>
      </c>
    </row>
    <row r="77" spans="1:11" s="80" customFormat="1" x14ac:dyDescent="0.25">
      <c r="A77" s="147">
        <v>72</v>
      </c>
      <c r="B77" s="151" t="s">
        <v>157</v>
      </c>
      <c r="C77" s="151" t="s">
        <v>158</v>
      </c>
      <c r="D77" s="152"/>
      <c r="E77" s="152" t="s">
        <v>159</v>
      </c>
      <c r="F77" s="152"/>
      <c r="G77" s="152"/>
      <c r="H77" s="152"/>
      <c r="I77" s="152"/>
      <c r="J77" s="147" t="s">
        <v>160</v>
      </c>
      <c r="K77" s="151" t="s">
        <v>155</v>
      </c>
    </row>
    <row r="78" spans="1:11" s="80" customFormat="1" x14ac:dyDescent="0.25">
      <c r="A78" s="147">
        <v>73</v>
      </c>
      <c r="B78" s="151" t="s">
        <v>45</v>
      </c>
      <c r="C78" s="151" t="s">
        <v>161</v>
      </c>
      <c r="D78" s="152"/>
      <c r="E78" s="152"/>
      <c r="F78" s="152">
        <v>167</v>
      </c>
      <c r="G78" s="152" t="s">
        <v>16</v>
      </c>
      <c r="H78" s="152"/>
      <c r="I78" s="152"/>
      <c r="J78" s="207" t="s">
        <v>85</v>
      </c>
      <c r="K78" s="53" t="s">
        <v>162</v>
      </c>
    </row>
    <row r="79" spans="1:11" s="80" customFormat="1" x14ac:dyDescent="0.25">
      <c r="A79" s="149">
        <v>74</v>
      </c>
      <c r="B79" s="53" t="s">
        <v>83</v>
      </c>
      <c r="C79" s="53" t="s">
        <v>163</v>
      </c>
      <c r="D79" s="161"/>
      <c r="E79" s="161"/>
      <c r="F79" s="161" t="s">
        <v>164</v>
      </c>
      <c r="G79" s="161" t="s">
        <v>16</v>
      </c>
      <c r="H79" s="161"/>
      <c r="I79" s="161"/>
      <c r="J79" s="158" t="s">
        <v>165</v>
      </c>
      <c r="K79" s="146" t="s">
        <v>168</v>
      </c>
    </row>
    <row r="80" spans="1:11" s="80" customFormat="1" x14ac:dyDescent="0.25">
      <c r="A80" s="88">
        <v>75</v>
      </c>
      <c r="B80" s="79" t="s">
        <v>83</v>
      </c>
      <c r="C80" s="79" t="s">
        <v>166</v>
      </c>
      <c r="D80" s="89"/>
      <c r="E80" s="89"/>
      <c r="F80" s="89"/>
      <c r="G80" s="89"/>
      <c r="H80" s="89"/>
      <c r="I80" s="89"/>
      <c r="J80" s="88" t="s">
        <v>167</v>
      </c>
      <c r="K80" s="79" t="s">
        <v>168</v>
      </c>
    </row>
    <row r="81" spans="1:11" ht="15.75" customHeight="1" x14ac:dyDescent="0.25">
      <c r="A81" s="119"/>
      <c r="B81" s="119"/>
      <c r="C81" s="119"/>
      <c r="D81" s="145"/>
      <c r="E81" s="145"/>
      <c r="F81" s="145"/>
      <c r="G81" s="145"/>
      <c r="H81" s="145"/>
      <c r="I81" s="145"/>
      <c r="J81" s="119"/>
      <c r="K81" s="119"/>
    </row>
    <row r="82" spans="1:11" ht="15.75" customHeight="1" x14ac:dyDescent="0.25"/>
    <row r="83" spans="1:11" ht="15.75" customHeight="1" x14ac:dyDescent="0.25"/>
    <row r="84" spans="1:11" ht="15.75" customHeight="1" x14ac:dyDescent="0.25"/>
    <row r="85" spans="1:11" ht="15.75" customHeight="1" x14ac:dyDescent="0.25"/>
    <row r="86" spans="1:11" ht="15.75" customHeight="1" x14ac:dyDescent="0.25"/>
    <row r="87" spans="1:11" ht="15.75" customHeight="1" x14ac:dyDescent="0.25"/>
    <row r="88" spans="1:11" ht="15.75" customHeight="1" x14ac:dyDescent="0.25"/>
    <row r="89" spans="1:11" ht="15.75" customHeight="1" x14ac:dyDescent="0.25"/>
    <row r="90" spans="1:11" ht="15.75" customHeight="1" x14ac:dyDescent="0.25"/>
    <row r="91" spans="1:11" ht="15.75" customHeight="1" x14ac:dyDescent="0.25"/>
    <row r="92" spans="1:11" ht="15.75" customHeight="1" x14ac:dyDescent="0.25"/>
    <row r="93" spans="1:11" ht="15.75" customHeight="1" x14ac:dyDescent="0.25"/>
    <row r="94" spans="1:11" ht="15.75" customHeight="1" x14ac:dyDescent="0.25"/>
    <row r="95" spans="1:11" ht="15.75" customHeight="1" x14ac:dyDescent="0.25"/>
    <row r="96" spans="1:11"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sheetData>
  <mergeCells count="12">
    <mergeCell ref="J60:J61"/>
    <mergeCell ref="A1:K1"/>
    <mergeCell ref="A2:K2"/>
    <mergeCell ref="A4:A5"/>
    <mergeCell ref="B4:B5"/>
    <mergeCell ref="C4:C5"/>
    <mergeCell ref="D4:F4"/>
    <mergeCell ref="G4:I4"/>
    <mergeCell ref="J4:J5"/>
    <mergeCell ref="K4:K5"/>
    <mergeCell ref="J47:J48"/>
    <mergeCell ref="J58:J59"/>
  </mergeCells>
  <dataValidations count="2">
    <dataValidation type="list" allowBlank="1" showErrorMessage="1" sqref="J73">
      <formula1>"Indeks Pertanaman (IP) padi sawah di Desa Tarikan masih berada pada IP 100 dan belum dapat ditingkatkan menjadi IP 200. Hal ini disebabkan oleh kondisi hidrologi Sungai Batanghari yang sering meluap, sehingga mengakibatkan terjadinya genangan dan banjir p"&amp;"ada lahan sawah. Kondisi tersebut menghambat pelaksanaan tanam kedua karena waktu tanam menjadi tidak menentu dan berisiko tinggi terhadap kegagalan tanaman."</formula1>
    </dataValidation>
    <dataValidation type="list" allowBlank="1" showErrorMessage="1" sqref="J70">
      <formula1>"Indeks Pertanaman (IP) padi sawah di Sumber Jaya masih berada pada IP 100 dan belum dapat ditingkatkan menjadi IP 200. Hal ini disebabkan oleh kondisi hidrologi Sungai Batanghari yang sering meluap, sehingga mengakibatkan terjadinya genangan dan banjir pa"&amp;"da lahan sawah. Kondisi tersebut menghambat pelaksanaan tanam kedua karena waktu tanam menjadi tidak menentu dan berisiko tinggi terhadap kegagalan tanaman."</formula1>
    </dataValidation>
  </dataValidations>
  <pageMargins left="0.7" right="0.7" top="0.75" bottom="0.75"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3"/>
  <sheetViews>
    <sheetView topLeftCell="A55" workbookViewId="0">
      <selection activeCell="H29" sqref="H29"/>
    </sheetView>
  </sheetViews>
  <sheetFormatPr defaultColWidth="14.42578125" defaultRowHeight="15" customHeight="1" x14ac:dyDescent="0.25"/>
  <cols>
    <col min="1" max="1" width="5.5703125" customWidth="1"/>
    <col min="2" max="2" width="30.28515625" bestFit="1" customWidth="1"/>
    <col min="3" max="3" width="13.85546875" bestFit="1" customWidth="1"/>
    <col min="4" max="4" width="16.140625" customWidth="1"/>
    <col min="5" max="5" width="18.85546875" bestFit="1" customWidth="1"/>
    <col min="6" max="6" width="54.85546875" bestFit="1" customWidth="1"/>
  </cols>
  <sheetData>
    <row r="1" spans="1:6" ht="19.5" customHeight="1" x14ac:dyDescent="0.3">
      <c r="A1" s="172" t="s">
        <v>169</v>
      </c>
      <c r="B1" s="173"/>
      <c r="C1" s="173"/>
      <c r="D1" s="173"/>
      <c r="E1" s="173"/>
      <c r="F1" s="173"/>
    </row>
    <row r="2" spans="1:6" ht="15" customHeight="1" x14ac:dyDescent="0.3">
      <c r="A2" s="172" t="s">
        <v>170</v>
      </c>
      <c r="B2" s="173"/>
      <c r="C2" s="173"/>
      <c r="D2" s="173"/>
      <c r="E2" s="173"/>
      <c r="F2" s="173"/>
    </row>
    <row r="3" spans="1:6" x14ac:dyDescent="0.25">
      <c r="A3" s="6"/>
      <c r="C3" s="7"/>
      <c r="D3" s="7"/>
      <c r="E3" s="7"/>
    </row>
    <row r="4" spans="1:6" ht="30" x14ac:dyDescent="0.25">
      <c r="A4" s="115" t="s">
        <v>1</v>
      </c>
      <c r="B4" s="115" t="s">
        <v>171</v>
      </c>
      <c r="C4" s="115" t="s">
        <v>172</v>
      </c>
      <c r="D4" s="115" t="s">
        <v>173</v>
      </c>
      <c r="E4" s="115" t="s">
        <v>174</v>
      </c>
      <c r="F4" s="115" t="s">
        <v>175</v>
      </c>
    </row>
    <row r="5" spans="1:6" s="25" customFormat="1" ht="45" x14ac:dyDescent="0.25">
      <c r="A5" s="123">
        <v>1</v>
      </c>
      <c r="B5" s="11" t="s">
        <v>18</v>
      </c>
      <c r="C5" s="124">
        <v>27</v>
      </c>
      <c r="D5" s="124">
        <v>38</v>
      </c>
      <c r="E5" s="125">
        <v>8</v>
      </c>
      <c r="F5" s="11" t="s">
        <v>176</v>
      </c>
    </row>
    <row r="6" spans="1:6" s="25" customFormat="1" ht="30" x14ac:dyDescent="0.25">
      <c r="A6" s="123">
        <v>2</v>
      </c>
      <c r="B6" s="11" t="s">
        <v>28</v>
      </c>
      <c r="C6" s="124">
        <v>57</v>
      </c>
      <c r="D6" s="124">
        <v>16</v>
      </c>
      <c r="E6" s="125">
        <v>288</v>
      </c>
      <c r="F6" s="126" t="s">
        <v>177</v>
      </c>
    </row>
    <row r="7" spans="1:6" s="25" customFormat="1" ht="45" x14ac:dyDescent="0.25">
      <c r="A7" s="124">
        <v>3</v>
      </c>
      <c r="B7" s="11" t="s">
        <v>178</v>
      </c>
      <c r="C7" s="124">
        <v>57</v>
      </c>
      <c r="D7" s="124">
        <v>14</v>
      </c>
      <c r="E7" s="125">
        <v>5</v>
      </c>
      <c r="F7" s="11" t="s">
        <v>179</v>
      </c>
    </row>
    <row r="8" spans="1:6" s="25" customFormat="1" ht="45" x14ac:dyDescent="0.25">
      <c r="A8" s="127">
        <v>4</v>
      </c>
      <c r="B8" s="128" t="s">
        <v>180</v>
      </c>
      <c r="C8" s="127">
        <v>45</v>
      </c>
      <c r="D8" s="127">
        <v>23</v>
      </c>
      <c r="E8" s="127">
        <v>1</v>
      </c>
      <c r="F8" s="126" t="s">
        <v>181</v>
      </c>
    </row>
    <row r="9" spans="1:6" s="25" customFormat="1" ht="30" x14ac:dyDescent="0.25">
      <c r="A9" s="127">
        <v>5</v>
      </c>
      <c r="B9" s="128" t="s">
        <v>31</v>
      </c>
      <c r="C9" s="127">
        <v>31</v>
      </c>
      <c r="D9" s="127">
        <v>9</v>
      </c>
      <c r="E9" s="127">
        <v>134</v>
      </c>
      <c r="F9" s="126" t="s">
        <v>177</v>
      </c>
    </row>
    <row r="10" spans="1:6" s="25" customFormat="1" ht="30" x14ac:dyDescent="0.25">
      <c r="A10" s="127">
        <v>6</v>
      </c>
      <c r="B10" s="128" t="s">
        <v>34</v>
      </c>
      <c r="C10" s="127">
        <v>36</v>
      </c>
      <c r="D10" s="127">
        <v>1</v>
      </c>
      <c r="E10" s="127">
        <v>15</v>
      </c>
      <c r="F10" s="126" t="s">
        <v>177</v>
      </c>
    </row>
    <row r="11" spans="1:6" s="25" customFormat="1" ht="30" x14ac:dyDescent="0.25">
      <c r="A11" s="127">
        <v>7</v>
      </c>
      <c r="B11" s="128" t="s">
        <v>36</v>
      </c>
      <c r="C11" s="127">
        <v>58</v>
      </c>
      <c r="D11" s="127">
        <v>19</v>
      </c>
      <c r="E11" s="127">
        <v>387</v>
      </c>
      <c r="F11" s="126" t="s">
        <v>177</v>
      </c>
    </row>
    <row r="12" spans="1:6" s="25" customFormat="1" ht="30" x14ac:dyDescent="0.25">
      <c r="A12" s="127">
        <v>8</v>
      </c>
      <c r="B12" s="128" t="s">
        <v>40</v>
      </c>
      <c r="C12" s="127">
        <v>55</v>
      </c>
      <c r="D12" s="127">
        <v>1</v>
      </c>
      <c r="E12" s="127">
        <v>12</v>
      </c>
      <c r="F12" s="126" t="s">
        <v>177</v>
      </c>
    </row>
    <row r="13" spans="1:6" s="25" customFormat="1" x14ac:dyDescent="0.25">
      <c r="A13" s="127">
        <v>9</v>
      </c>
      <c r="B13" s="129" t="s">
        <v>55</v>
      </c>
      <c r="C13" s="127">
        <v>57</v>
      </c>
      <c r="D13" s="127">
        <v>8</v>
      </c>
      <c r="E13" s="127">
        <v>17</v>
      </c>
      <c r="F13" s="11" t="s">
        <v>182</v>
      </c>
    </row>
    <row r="14" spans="1:6" s="25" customFormat="1" ht="30" x14ac:dyDescent="0.25">
      <c r="A14" s="127">
        <v>10</v>
      </c>
      <c r="B14" s="128" t="s">
        <v>42</v>
      </c>
      <c r="C14" s="127">
        <v>41</v>
      </c>
      <c r="D14" s="127">
        <v>7</v>
      </c>
      <c r="E14" s="127">
        <v>37</v>
      </c>
      <c r="F14" s="126" t="s">
        <v>177</v>
      </c>
    </row>
    <row r="15" spans="1:6" s="25" customFormat="1" ht="30" x14ac:dyDescent="0.25">
      <c r="A15" s="127">
        <v>11</v>
      </c>
      <c r="B15" s="128" t="s">
        <v>48</v>
      </c>
      <c r="C15" s="127">
        <v>44</v>
      </c>
      <c r="D15" s="127">
        <v>19</v>
      </c>
      <c r="E15" s="127">
        <v>45</v>
      </c>
      <c r="F15" s="126" t="s">
        <v>183</v>
      </c>
    </row>
    <row r="16" spans="1:6" s="25" customFormat="1" ht="30" x14ac:dyDescent="0.25">
      <c r="A16" s="127">
        <v>12</v>
      </c>
      <c r="B16" s="128" t="s">
        <v>184</v>
      </c>
      <c r="C16" s="127">
        <v>43</v>
      </c>
      <c r="D16" s="127">
        <v>11</v>
      </c>
      <c r="E16" s="127">
        <v>20</v>
      </c>
      <c r="F16" s="126" t="s">
        <v>185</v>
      </c>
    </row>
    <row r="17" spans="1:6" s="25" customFormat="1" ht="30" x14ac:dyDescent="0.25">
      <c r="A17" s="127">
        <v>13</v>
      </c>
      <c r="B17" s="128" t="s">
        <v>60</v>
      </c>
      <c r="C17" s="127">
        <v>43</v>
      </c>
      <c r="D17" s="127">
        <v>14</v>
      </c>
      <c r="E17" s="127">
        <v>49</v>
      </c>
      <c r="F17" s="11" t="s">
        <v>186</v>
      </c>
    </row>
    <row r="18" spans="1:6" s="25" customFormat="1" ht="30" x14ac:dyDescent="0.25">
      <c r="A18" s="127">
        <v>14</v>
      </c>
      <c r="B18" s="129" t="s">
        <v>1653</v>
      </c>
      <c r="C18" s="127">
        <v>42</v>
      </c>
      <c r="D18" s="127">
        <v>10</v>
      </c>
      <c r="E18" s="127">
        <v>153</v>
      </c>
      <c r="F18" s="11" t="s">
        <v>187</v>
      </c>
    </row>
    <row r="19" spans="1:6" s="25" customFormat="1" x14ac:dyDescent="0.25">
      <c r="A19" s="127">
        <v>15</v>
      </c>
      <c r="B19" s="128" t="s">
        <v>188</v>
      </c>
      <c r="C19" s="127">
        <v>41</v>
      </c>
      <c r="D19" s="127">
        <v>14</v>
      </c>
      <c r="E19" s="127">
        <v>64</v>
      </c>
      <c r="F19" s="11" t="s">
        <v>182</v>
      </c>
    </row>
    <row r="20" spans="1:6" s="27" customFormat="1" x14ac:dyDescent="0.25">
      <c r="A20" s="130">
        <v>16</v>
      </c>
      <c r="B20" s="23" t="s">
        <v>69</v>
      </c>
      <c r="C20" s="55">
        <v>44</v>
      </c>
      <c r="D20" s="55">
        <v>11</v>
      </c>
      <c r="E20" s="55" t="s">
        <v>189</v>
      </c>
      <c r="F20" s="131" t="s">
        <v>190</v>
      </c>
    </row>
    <row r="21" spans="1:6" s="27" customFormat="1" x14ac:dyDescent="0.25">
      <c r="A21" s="130">
        <v>17</v>
      </c>
      <c r="B21" s="34" t="s">
        <v>72</v>
      </c>
      <c r="C21" s="55">
        <v>54</v>
      </c>
      <c r="D21" s="55">
        <v>11</v>
      </c>
      <c r="E21" s="55" t="s">
        <v>191</v>
      </c>
      <c r="F21" s="131" t="s">
        <v>190</v>
      </c>
    </row>
    <row r="22" spans="1:6" s="27" customFormat="1" x14ac:dyDescent="0.25">
      <c r="A22" s="130">
        <v>18</v>
      </c>
      <c r="B22" s="23" t="s">
        <v>75</v>
      </c>
      <c r="C22" s="55">
        <v>57</v>
      </c>
      <c r="D22" s="55">
        <v>14</v>
      </c>
      <c r="E22" s="55" t="s">
        <v>192</v>
      </c>
      <c r="F22" s="131" t="s">
        <v>190</v>
      </c>
    </row>
    <row r="23" spans="1:6" s="27" customFormat="1" x14ac:dyDescent="0.25">
      <c r="A23" s="130">
        <v>19</v>
      </c>
      <c r="B23" s="23" t="s">
        <v>78</v>
      </c>
      <c r="C23" s="55">
        <v>60</v>
      </c>
      <c r="D23" s="55">
        <v>13</v>
      </c>
      <c r="E23" s="55" t="s">
        <v>193</v>
      </c>
      <c r="F23" s="131" t="s">
        <v>190</v>
      </c>
    </row>
    <row r="24" spans="1:6" s="27" customFormat="1" x14ac:dyDescent="0.25">
      <c r="A24" s="130">
        <v>20</v>
      </c>
      <c r="B24" s="36" t="s">
        <v>81</v>
      </c>
      <c r="C24" s="55">
        <v>35</v>
      </c>
      <c r="D24" s="55">
        <v>13</v>
      </c>
      <c r="E24" s="55">
        <v>0</v>
      </c>
      <c r="F24" s="131"/>
    </row>
    <row r="25" spans="1:6" s="25" customFormat="1" x14ac:dyDescent="0.25">
      <c r="A25" s="127">
        <v>21</v>
      </c>
      <c r="B25" s="128" t="s">
        <v>58</v>
      </c>
      <c r="C25" s="127">
        <v>42</v>
      </c>
      <c r="D25" s="127">
        <v>15</v>
      </c>
      <c r="E25" s="127">
        <v>65</v>
      </c>
      <c r="F25" s="11" t="s">
        <v>182</v>
      </c>
    </row>
    <row r="26" spans="1:6" s="25" customFormat="1" x14ac:dyDescent="0.25">
      <c r="A26" s="127">
        <v>22</v>
      </c>
      <c r="B26" s="128" t="s">
        <v>64</v>
      </c>
      <c r="C26" s="127">
        <v>49</v>
      </c>
      <c r="D26" s="127">
        <v>18</v>
      </c>
      <c r="E26" s="127">
        <v>56</v>
      </c>
      <c r="F26" s="11" t="s">
        <v>182</v>
      </c>
    </row>
    <row r="27" spans="1:6" s="25" customFormat="1" ht="45" x14ac:dyDescent="0.25">
      <c r="A27" s="127">
        <v>23</v>
      </c>
      <c r="B27" s="128" t="s">
        <v>194</v>
      </c>
      <c r="C27" s="127">
        <v>39</v>
      </c>
      <c r="D27" s="127">
        <v>144</v>
      </c>
      <c r="E27" s="127">
        <v>0</v>
      </c>
      <c r="F27" s="11" t="s">
        <v>176</v>
      </c>
    </row>
    <row r="28" spans="1:6" s="25" customFormat="1" ht="30" x14ac:dyDescent="0.25">
      <c r="A28" s="127">
        <v>24</v>
      </c>
      <c r="B28" s="128" t="s">
        <v>86</v>
      </c>
      <c r="C28" s="127">
        <v>25</v>
      </c>
      <c r="D28" s="127">
        <v>19</v>
      </c>
      <c r="E28" s="127">
        <v>200</v>
      </c>
      <c r="F28" s="11" t="s">
        <v>195</v>
      </c>
    </row>
    <row r="29" spans="1:6" s="25" customFormat="1" ht="60" x14ac:dyDescent="0.25">
      <c r="A29" s="127">
        <v>25</v>
      </c>
      <c r="B29" s="128" t="s">
        <v>98</v>
      </c>
      <c r="C29" s="127">
        <v>55</v>
      </c>
      <c r="D29" s="127">
        <v>12</v>
      </c>
      <c r="E29" s="127">
        <v>295</v>
      </c>
      <c r="F29" s="11" t="s">
        <v>196</v>
      </c>
    </row>
    <row r="30" spans="1:6" s="25" customFormat="1" x14ac:dyDescent="0.25">
      <c r="A30" s="127">
        <v>26</v>
      </c>
      <c r="B30" s="128" t="s">
        <v>197</v>
      </c>
      <c r="C30" s="127">
        <v>44</v>
      </c>
      <c r="D30" s="127">
        <v>45</v>
      </c>
      <c r="E30" s="127">
        <v>290</v>
      </c>
      <c r="F30" s="11" t="s">
        <v>198</v>
      </c>
    </row>
    <row r="31" spans="1:6" s="25" customFormat="1" ht="45" x14ac:dyDescent="0.25">
      <c r="A31" s="127">
        <v>27</v>
      </c>
      <c r="B31" s="128" t="s">
        <v>199</v>
      </c>
      <c r="C31" s="127">
        <v>55</v>
      </c>
      <c r="D31" s="127">
        <v>31</v>
      </c>
      <c r="E31" s="127">
        <v>0</v>
      </c>
      <c r="F31" s="11" t="s">
        <v>200</v>
      </c>
    </row>
    <row r="32" spans="1:6" s="25" customFormat="1" ht="105" x14ac:dyDescent="0.25">
      <c r="A32" s="127">
        <v>28</v>
      </c>
      <c r="B32" s="128" t="s">
        <v>108</v>
      </c>
      <c r="C32" s="127">
        <v>46</v>
      </c>
      <c r="D32" s="127">
        <v>12</v>
      </c>
      <c r="E32" s="127">
        <v>95</v>
      </c>
      <c r="F32" s="126" t="s">
        <v>107</v>
      </c>
    </row>
    <row r="33" spans="1:6" s="25" customFormat="1" ht="30" x14ac:dyDescent="0.25">
      <c r="A33" s="127">
        <v>29</v>
      </c>
      <c r="B33" s="128" t="s">
        <v>111</v>
      </c>
      <c r="C33" s="127">
        <v>32</v>
      </c>
      <c r="D33" s="127">
        <v>10</v>
      </c>
      <c r="E33" s="127">
        <v>9</v>
      </c>
      <c r="F33" s="11" t="s">
        <v>201</v>
      </c>
    </row>
    <row r="34" spans="1:6" s="25" customFormat="1" x14ac:dyDescent="0.25">
      <c r="A34" s="127">
        <v>30</v>
      </c>
      <c r="B34" s="128" t="s">
        <v>100</v>
      </c>
      <c r="C34" s="127">
        <v>33</v>
      </c>
      <c r="D34" s="127">
        <v>29</v>
      </c>
      <c r="E34" s="127">
        <v>82</v>
      </c>
      <c r="F34" s="11" t="s">
        <v>202</v>
      </c>
    </row>
    <row r="35" spans="1:6" s="25" customFormat="1" ht="30" x14ac:dyDescent="0.25">
      <c r="A35" s="127">
        <v>31</v>
      </c>
      <c r="B35" s="128" t="s">
        <v>118</v>
      </c>
      <c r="C35" s="127">
        <v>29</v>
      </c>
      <c r="D35" s="127">
        <v>21</v>
      </c>
      <c r="E35" s="127">
        <v>110</v>
      </c>
      <c r="F35" s="11" t="s">
        <v>203</v>
      </c>
    </row>
    <row r="36" spans="1:6" s="25" customFormat="1" ht="45" x14ac:dyDescent="0.25">
      <c r="A36" s="127">
        <v>32</v>
      </c>
      <c r="B36" s="128" t="s">
        <v>204</v>
      </c>
      <c r="C36" s="127">
        <v>40</v>
      </c>
      <c r="D36" s="127">
        <v>19</v>
      </c>
      <c r="E36" s="127">
        <v>69</v>
      </c>
      <c r="F36" s="11" t="s">
        <v>205</v>
      </c>
    </row>
    <row r="37" spans="1:6" s="25" customFormat="1" ht="30" x14ac:dyDescent="0.25">
      <c r="A37" s="127">
        <v>32</v>
      </c>
      <c r="B37" s="128" t="s">
        <v>206</v>
      </c>
      <c r="C37" s="127">
        <v>34</v>
      </c>
      <c r="D37" s="127">
        <v>34</v>
      </c>
      <c r="E37" s="127">
        <v>0</v>
      </c>
      <c r="F37" s="11" t="s">
        <v>207</v>
      </c>
    </row>
    <row r="38" spans="1:6" s="25" customFormat="1" x14ac:dyDescent="0.25">
      <c r="A38" s="127">
        <v>33</v>
      </c>
      <c r="B38" s="128" t="s">
        <v>208</v>
      </c>
      <c r="C38" s="127">
        <v>34</v>
      </c>
      <c r="D38" s="127">
        <v>79</v>
      </c>
      <c r="E38" s="127">
        <v>0</v>
      </c>
      <c r="F38" s="11" t="s">
        <v>209</v>
      </c>
    </row>
    <row r="39" spans="1:6" s="25" customFormat="1" ht="45" x14ac:dyDescent="0.25">
      <c r="A39" s="127">
        <v>34</v>
      </c>
      <c r="B39" s="128" t="s">
        <v>121</v>
      </c>
      <c r="C39" s="127">
        <v>32</v>
      </c>
      <c r="D39" s="127">
        <v>20</v>
      </c>
      <c r="E39" s="127">
        <v>219</v>
      </c>
      <c r="F39" s="11" t="s">
        <v>210</v>
      </c>
    </row>
    <row r="40" spans="1:6" s="25" customFormat="1" ht="30" x14ac:dyDescent="0.25">
      <c r="A40" s="127">
        <v>35</v>
      </c>
      <c r="B40" s="128" t="s">
        <v>125</v>
      </c>
      <c r="C40" s="127">
        <v>55</v>
      </c>
      <c r="D40" s="127">
        <v>22</v>
      </c>
      <c r="E40" s="127">
        <v>10</v>
      </c>
      <c r="F40" s="11" t="s">
        <v>211</v>
      </c>
    </row>
    <row r="41" spans="1:6" s="25" customFormat="1" x14ac:dyDescent="0.25">
      <c r="A41" s="127">
        <v>36</v>
      </c>
      <c r="B41" s="128" t="s">
        <v>212</v>
      </c>
      <c r="C41" s="127">
        <v>57</v>
      </c>
      <c r="D41" s="127">
        <v>17</v>
      </c>
      <c r="E41" s="127"/>
      <c r="F41" s="11" t="s">
        <v>213</v>
      </c>
    </row>
    <row r="42" spans="1:6" s="25" customFormat="1" ht="30" x14ac:dyDescent="0.25">
      <c r="A42" s="127">
        <v>37</v>
      </c>
      <c r="B42" s="128" t="s">
        <v>135</v>
      </c>
      <c r="C42" s="127">
        <v>24</v>
      </c>
      <c r="D42" s="127">
        <v>88</v>
      </c>
      <c r="E42" s="127">
        <v>55</v>
      </c>
      <c r="F42" s="11" t="s">
        <v>177</v>
      </c>
    </row>
    <row r="43" spans="1:6" s="25" customFormat="1" x14ac:dyDescent="0.25">
      <c r="A43" s="127">
        <v>38</v>
      </c>
      <c r="B43" s="128" t="s">
        <v>214</v>
      </c>
      <c r="C43" s="127">
        <v>30</v>
      </c>
      <c r="D43" s="127">
        <v>7</v>
      </c>
      <c r="E43" s="127">
        <v>0</v>
      </c>
      <c r="F43" s="11" t="s">
        <v>215</v>
      </c>
    </row>
    <row r="44" spans="1:6" s="25" customFormat="1" ht="60" x14ac:dyDescent="0.25">
      <c r="A44" s="127">
        <v>39</v>
      </c>
      <c r="B44" s="128" t="s">
        <v>139</v>
      </c>
      <c r="C44" s="127">
        <v>40</v>
      </c>
      <c r="D44" s="127">
        <v>7</v>
      </c>
      <c r="E44" s="127">
        <v>102</v>
      </c>
      <c r="F44" s="132" t="s">
        <v>216</v>
      </c>
    </row>
    <row r="45" spans="1:6" s="25" customFormat="1" ht="30" x14ac:dyDescent="0.25">
      <c r="A45" s="127">
        <v>40</v>
      </c>
      <c r="B45" s="133" t="s">
        <v>1664</v>
      </c>
      <c r="C45" s="127">
        <v>27</v>
      </c>
      <c r="D45" s="127">
        <v>21</v>
      </c>
      <c r="E45" s="127">
        <v>175</v>
      </c>
      <c r="F45" s="132" t="s">
        <v>217</v>
      </c>
    </row>
    <row r="46" spans="1:6" s="25" customFormat="1" x14ac:dyDescent="0.25">
      <c r="A46" s="127">
        <v>41</v>
      </c>
      <c r="B46" s="128" t="s">
        <v>142</v>
      </c>
      <c r="C46" s="127">
        <v>57</v>
      </c>
      <c r="D46" s="127">
        <v>12</v>
      </c>
      <c r="E46" s="127">
        <v>0</v>
      </c>
      <c r="F46" s="11" t="s">
        <v>141</v>
      </c>
    </row>
    <row r="47" spans="1:6" s="25" customFormat="1" ht="60" x14ac:dyDescent="0.25">
      <c r="A47" s="127">
        <v>42</v>
      </c>
      <c r="B47" s="128" t="s">
        <v>145</v>
      </c>
      <c r="C47" s="127">
        <v>42</v>
      </c>
      <c r="D47" s="127">
        <v>14</v>
      </c>
      <c r="E47" s="127">
        <v>54</v>
      </c>
      <c r="F47" s="11" t="s">
        <v>216</v>
      </c>
    </row>
    <row r="48" spans="1:6" s="25" customFormat="1" ht="45" x14ac:dyDescent="0.25">
      <c r="A48" s="127">
        <v>43</v>
      </c>
      <c r="B48" s="128" t="s">
        <v>218</v>
      </c>
      <c r="C48" s="127">
        <v>43</v>
      </c>
      <c r="D48" s="127">
        <v>62</v>
      </c>
      <c r="E48" s="127">
        <v>0</v>
      </c>
      <c r="F48" s="11" t="s">
        <v>219</v>
      </c>
    </row>
    <row r="49" spans="1:26" s="25" customFormat="1" ht="45" x14ac:dyDescent="0.25">
      <c r="A49" s="127">
        <v>44</v>
      </c>
      <c r="B49" s="128" t="s">
        <v>220</v>
      </c>
      <c r="C49" s="127">
        <v>31</v>
      </c>
      <c r="D49" s="127">
        <v>49</v>
      </c>
      <c r="E49" s="127">
        <v>0</v>
      </c>
      <c r="F49" s="11" t="s">
        <v>221</v>
      </c>
    </row>
    <row r="50" spans="1:26" s="25" customFormat="1" ht="30" x14ac:dyDescent="0.25">
      <c r="A50" s="127">
        <v>45</v>
      </c>
      <c r="B50" s="134" t="s">
        <v>151</v>
      </c>
      <c r="C50" s="127">
        <v>28</v>
      </c>
      <c r="D50" s="127">
        <v>18</v>
      </c>
      <c r="E50" s="127" t="s">
        <v>222</v>
      </c>
      <c r="F50" s="126" t="s">
        <v>223</v>
      </c>
      <c r="G50" s="5"/>
      <c r="H50" s="5"/>
      <c r="I50" s="5"/>
      <c r="J50" s="5"/>
      <c r="K50" s="5"/>
      <c r="L50" s="5"/>
      <c r="M50" s="5"/>
      <c r="N50" s="5"/>
      <c r="O50" s="5"/>
      <c r="P50" s="5"/>
      <c r="Q50" s="5"/>
      <c r="R50" s="5"/>
      <c r="S50" s="5"/>
      <c r="T50" s="5"/>
      <c r="U50" s="5"/>
      <c r="V50" s="5"/>
      <c r="W50" s="5"/>
      <c r="X50" s="5"/>
      <c r="Y50" s="5"/>
      <c r="Z50" s="5"/>
    </row>
    <row r="51" spans="1:26" s="25" customFormat="1" ht="30" x14ac:dyDescent="0.25">
      <c r="A51" s="135">
        <v>46</v>
      </c>
      <c r="B51" s="136" t="s">
        <v>162</v>
      </c>
      <c r="C51" s="135">
        <v>58</v>
      </c>
      <c r="D51" s="135">
        <v>11</v>
      </c>
      <c r="E51" s="135">
        <v>167</v>
      </c>
      <c r="F51" s="137" t="s">
        <v>224</v>
      </c>
    </row>
    <row r="52" spans="1:26" s="25" customFormat="1" ht="60" x14ac:dyDescent="0.25">
      <c r="A52" s="138">
        <v>47</v>
      </c>
      <c r="B52" s="139" t="s">
        <v>225</v>
      </c>
      <c r="C52" s="138">
        <v>29</v>
      </c>
      <c r="D52" s="138">
        <v>4</v>
      </c>
      <c r="E52" s="138" t="s">
        <v>164</v>
      </c>
      <c r="F52" s="140" t="s">
        <v>226</v>
      </c>
    </row>
    <row r="53" spans="1:26" ht="15.75" customHeight="1" x14ac:dyDescent="0.25">
      <c r="A53" s="141"/>
      <c r="B53" s="119"/>
      <c r="C53" s="142"/>
      <c r="D53" s="142"/>
      <c r="E53" s="142"/>
      <c r="F53" s="119"/>
    </row>
    <row r="54" spans="1:26" ht="15.75" customHeight="1" x14ac:dyDescent="0.25">
      <c r="A54" s="6"/>
      <c r="C54" s="7"/>
      <c r="D54" s="7"/>
      <c r="E54" s="7"/>
    </row>
    <row r="55" spans="1:26" ht="15.75" customHeight="1" x14ac:dyDescent="0.25">
      <c r="A55" s="6"/>
      <c r="C55" s="7"/>
      <c r="D55" s="7"/>
      <c r="E55" s="7"/>
    </row>
    <row r="56" spans="1:26" ht="15.75" customHeight="1" x14ac:dyDescent="0.25">
      <c r="A56" s="6"/>
      <c r="C56" s="7"/>
      <c r="D56" s="7"/>
      <c r="E56" s="7"/>
    </row>
    <row r="57" spans="1:26" ht="15.75" customHeight="1" x14ac:dyDescent="0.25">
      <c r="A57" s="6"/>
      <c r="C57" s="7"/>
      <c r="D57" s="7"/>
      <c r="E57" s="7"/>
    </row>
    <row r="58" spans="1:26" ht="15.75" customHeight="1" x14ac:dyDescent="0.25">
      <c r="A58" s="6"/>
      <c r="C58" s="7"/>
      <c r="D58" s="7"/>
      <c r="E58" s="7"/>
    </row>
    <row r="59" spans="1:26" ht="15.75" customHeight="1" x14ac:dyDescent="0.25">
      <c r="A59" s="6"/>
      <c r="C59" s="7"/>
      <c r="D59" s="7"/>
      <c r="E59" s="7"/>
    </row>
    <row r="60" spans="1:26" ht="15.75" customHeight="1" x14ac:dyDescent="0.25">
      <c r="A60" s="6"/>
      <c r="C60" s="7"/>
      <c r="D60" s="7"/>
      <c r="E60" s="7"/>
    </row>
    <row r="61" spans="1:26" ht="15.75" customHeight="1" x14ac:dyDescent="0.25">
      <c r="A61" s="6"/>
      <c r="C61" s="7"/>
      <c r="D61" s="7"/>
      <c r="E61" s="7"/>
    </row>
    <row r="62" spans="1:26" ht="15.75" customHeight="1" x14ac:dyDescent="0.25">
      <c r="A62" s="6"/>
      <c r="C62" s="7"/>
      <c r="D62" s="7"/>
      <c r="E62" s="7"/>
    </row>
    <row r="63" spans="1:26" ht="15.75" customHeight="1" x14ac:dyDescent="0.25">
      <c r="A63" s="6"/>
      <c r="C63" s="7"/>
      <c r="D63" s="7"/>
      <c r="E63" s="7"/>
    </row>
  </sheetData>
  <mergeCells count="2">
    <mergeCell ref="A1:F1"/>
    <mergeCell ref="A2:F2"/>
  </mergeCells>
  <dataValidations count="1">
    <dataValidation type="list" allowBlank="1" showErrorMessage="1" sqref="F44 F47">
      <formula1>"Keterbatasan sistem irigasi, terutama pada sawah tadah hujan, membuat ketersediaan air tidak stabil dan menyulitkan petani dalam melakukan tanam lebih dari satu kali dalam setahun."</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33"/>
  <sheetViews>
    <sheetView topLeftCell="A4" workbookViewId="0">
      <selection activeCell="E25" sqref="E25"/>
    </sheetView>
  </sheetViews>
  <sheetFormatPr defaultColWidth="14.42578125" defaultRowHeight="15" customHeight="1" x14ac:dyDescent="0.25"/>
  <cols>
    <col min="1" max="1" width="4.140625" bestFit="1" customWidth="1"/>
    <col min="2" max="2" width="30.28515625" bestFit="1" customWidth="1"/>
    <col min="3" max="3" width="10.5703125" customWidth="1"/>
    <col min="4" max="4" width="19.85546875" customWidth="1"/>
    <col min="5" max="5" width="75.140625" customWidth="1"/>
    <col min="6" max="6" width="62.42578125" customWidth="1"/>
    <col min="7" max="7" width="31.140625" customWidth="1"/>
  </cols>
  <sheetData>
    <row r="1" spans="1:26" ht="38.25" customHeight="1" x14ac:dyDescent="0.3">
      <c r="A1" s="174" t="s">
        <v>227</v>
      </c>
      <c r="B1" s="173"/>
      <c r="C1" s="173"/>
      <c r="D1" s="173"/>
      <c r="E1" s="173"/>
      <c r="F1" s="173"/>
      <c r="G1" s="173"/>
    </row>
    <row r="3" spans="1:26" ht="45" customHeight="1" x14ac:dyDescent="0.25">
      <c r="A3" s="115" t="s">
        <v>1</v>
      </c>
      <c r="B3" s="115" t="s">
        <v>171</v>
      </c>
      <c r="C3" s="115" t="s">
        <v>228</v>
      </c>
      <c r="D3" s="115" t="s">
        <v>173</v>
      </c>
      <c r="E3" s="115" t="s">
        <v>229</v>
      </c>
      <c r="F3" s="115" t="s">
        <v>230</v>
      </c>
      <c r="G3" s="115" t="s">
        <v>231</v>
      </c>
      <c r="H3" s="6"/>
      <c r="I3" s="6"/>
      <c r="J3" s="6"/>
      <c r="K3" s="6"/>
      <c r="L3" s="6"/>
      <c r="M3" s="6"/>
      <c r="N3" s="6"/>
      <c r="O3" s="6"/>
      <c r="P3" s="6"/>
      <c r="Q3" s="6"/>
      <c r="R3" s="6"/>
      <c r="S3" s="6"/>
      <c r="T3" s="6"/>
      <c r="U3" s="6"/>
      <c r="V3" s="6"/>
      <c r="W3" s="6"/>
      <c r="X3" s="6"/>
      <c r="Y3" s="6"/>
      <c r="Z3" s="6"/>
    </row>
    <row r="4" spans="1:26" x14ac:dyDescent="0.25">
      <c r="A4" s="9">
        <v>1</v>
      </c>
      <c r="B4" s="8" t="s">
        <v>18</v>
      </c>
      <c r="C4" s="1">
        <v>27</v>
      </c>
      <c r="D4" s="1">
        <v>38</v>
      </c>
      <c r="E4" s="8" t="s">
        <v>232</v>
      </c>
      <c r="F4" s="8" t="s">
        <v>233</v>
      </c>
      <c r="G4" s="8" t="s">
        <v>234</v>
      </c>
    </row>
    <row r="5" spans="1:26" x14ac:dyDescent="0.25">
      <c r="A5" s="9">
        <v>2</v>
      </c>
      <c r="B5" s="8" t="s">
        <v>28</v>
      </c>
      <c r="C5" s="1">
        <v>57</v>
      </c>
      <c r="D5" s="1">
        <v>16</v>
      </c>
      <c r="E5" s="10"/>
      <c r="F5" s="10"/>
      <c r="G5" s="10"/>
    </row>
    <row r="6" spans="1:26" x14ac:dyDescent="0.25">
      <c r="A6" s="9">
        <v>3</v>
      </c>
      <c r="B6" s="8" t="s">
        <v>31</v>
      </c>
      <c r="C6" s="1">
        <v>31</v>
      </c>
      <c r="D6" s="1">
        <v>28</v>
      </c>
      <c r="E6" s="10"/>
      <c r="F6" s="10"/>
      <c r="G6" s="11"/>
    </row>
    <row r="7" spans="1:26" ht="15" customHeight="1" x14ac:dyDescent="0.25">
      <c r="A7" s="9">
        <v>4</v>
      </c>
      <c r="B7" s="2" t="s">
        <v>34</v>
      </c>
      <c r="C7" s="120">
        <v>36</v>
      </c>
      <c r="D7" s="120">
        <v>9</v>
      </c>
      <c r="E7" s="3"/>
      <c r="F7" s="3"/>
      <c r="G7" s="3"/>
    </row>
    <row r="8" spans="1:26" ht="15" customHeight="1" x14ac:dyDescent="0.25">
      <c r="A8" s="9">
        <v>5</v>
      </c>
      <c r="B8" s="2" t="s">
        <v>178</v>
      </c>
      <c r="C8" s="120">
        <v>57</v>
      </c>
      <c r="D8" s="120">
        <v>14</v>
      </c>
      <c r="E8" s="2" t="s">
        <v>235</v>
      </c>
      <c r="F8" s="3"/>
      <c r="G8" s="2"/>
    </row>
    <row r="9" spans="1:26" ht="15" customHeight="1" x14ac:dyDescent="0.25">
      <c r="A9" s="9">
        <v>6</v>
      </c>
      <c r="B9" s="2" t="s">
        <v>36</v>
      </c>
      <c r="C9" s="120">
        <v>58</v>
      </c>
      <c r="D9" s="120">
        <v>26</v>
      </c>
      <c r="E9" s="3"/>
      <c r="F9" s="3"/>
      <c r="G9" s="2" t="s">
        <v>236</v>
      </c>
    </row>
    <row r="10" spans="1:26" ht="15" customHeight="1" x14ac:dyDescent="0.25">
      <c r="A10" s="9">
        <v>7</v>
      </c>
      <c r="B10" s="2" t="s">
        <v>40</v>
      </c>
      <c r="C10" s="120">
        <v>55</v>
      </c>
      <c r="D10" s="120">
        <v>3</v>
      </c>
      <c r="E10" s="3"/>
      <c r="F10" s="3"/>
      <c r="G10" s="3"/>
    </row>
    <row r="11" spans="1:26" ht="15" customHeight="1" x14ac:dyDescent="0.25">
      <c r="A11" s="9">
        <v>8</v>
      </c>
      <c r="B11" s="2" t="s">
        <v>42</v>
      </c>
      <c r="C11" s="120">
        <v>41</v>
      </c>
      <c r="D11" s="120">
        <v>19</v>
      </c>
      <c r="E11" s="3"/>
      <c r="F11" s="3"/>
      <c r="G11" s="3"/>
    </row>
    <row r="12" spans="1:26" ht="15" customHeight="1" x14ac:dyDescent="0.25">
      <c r="A12" s="9">
        <v>9</v>
      </c>
      <c r="B12" s="2" t="s">
        <v>90</v>
      </c>
      <c r="C12" s="120">
        <v>43</v>
      </c>
      <c r="D12" s="120">
        <v>11</v>
      </c>
      <c r="E12" s="2" t="s">
        <v>237</v>
      </c>
      <c r="F12" s="3"/>
      <c r="G12" s="2" t="s">
        <v>238</v>
      </c>
    </row>
    <row r="13" spans="1:26" ht="15" customHeight="1" x14ac:dyDescent="0.25">
      <c r="A13" s="9">
        <v>10</v>
      </c>
      <c r="B13" s="2" t="s">
        <v>48</v>
      </c>
      <c r="C13" s="120">
        <v>44</v>
      </c>
      <c r="D13" s="120">
        <v>19</v>
      </c>
      <c r="E13" s="2" t="s">
        <v>239</v>
      </c>
      <c r="F13" s="3"/>
      <c r="G13" s="3"/>
    </row>
    <row r="14" spans="1:26" s="15" customFormat="1" ht="15" customHeight="1" x14ac:dyDescent="0.25">
      <c r="A14" s="111">
        <v>11</v>
      </c>
      <c r="B14" s="112" t="s">
        <v>69</v>
      </c>
      <c r="C14" s="58">
        <v>44</v>
      </c>
      <c r="D14" s="58">
        <v>11</v>
      </c>
      <c r="E14" s="18" t="s">
        <v>240</v>
      </c>
      <c r="F14" s="18" t="s">
        <v>241</v>
      </c>
      <c r="G14" s="18" t="s">
        <v>242</v>
      </c>
    </row>
    <row r="15" spans="1:26" s="15" customFormat="1" ht="15" customHeight="1" x14ac:dyDescent="0.25">
      <c r="A15" s="111">
        <v>12</v>
      </c>
      <c r="B15" s="18" t="s">
        <v>72</v>
      </c>
      <c r="C15" s="58">
        <v>54</v>
      </c>
      <c r="D15" s="58">
        <v>11</v>
      </c>
      <c r="E15" s="18" t="s">
        <v>243</v>
      </c>
      <c r="F15" s="18" t="s">
        <v>241</v>
      </c>
      <c r="G15" s="113"/>
    </row>
    <row r="16" spans="1:26" s="15" customFormat="1" ht="15" customHeight="1" x14ac:dyDescent="0.25">
      <c r="A16" s="111">
        <v>13</v>
      </c>
      <c r="B16" s="112" t="s">
        <v>75</v>
      </c>
      <c r="C16" s="58">
        <v>57</v>
      </c>
      <c r="D16" s="58">
        <v>14</v>
      </c>
      <c r="E16" s="18" t="s">
        <v>243</v>
      </c>
      <c r="F16" s="18" t="s">
        <v>241</v>
      </c>
      <c r="G16" s="18" t="s">
        <v>242</v>
      </c>
    </row>
    <row r="17" spans="1:7" s="15" customFormat="1" ht="15.75" customHeight="1" x14ac:dyDescent="0.25">
      <c r="A17" s="111">
        <v>14</v>
      </c>
      <c r="B17" s="112" t="s">
        <v>78</v>
      </c>
      <c r="C17" s="58">
        <v>60</v>
      </c>
      <c r="D17" s="58">
        <v>13</v>
      </c>
      <c r="E17" s="18" t="s">
        <v>243</v>
      </c>
      <c r="F17" s="18" t="s">
        <v>241</v>
      </c>
      <c r="G17" s="18" t="s">
        <v>242</v>
      </c>
    </row>
    <row r="18" spans="1:7" s="15" customFormat="1" ht="15.75" customHeight="1" x14ac:dyDescent="0.25">
      <c r="A18" s="111">
        <v>15</v>
      </c>
      <c r="B18" s="114" t="s">
        <v>81</v>
      </c>
      <c r="C18" s="58">
        <v>35</v>
      </c>
      <c r="D18" s="58">
        <v>13</v>
      </c>
      <c r="E18" s="18" t="s">
        <v>243</v>
      </c>
      <c r="F18" s="18" t="s">
        <v>241</v>
      </c>
      <c r="G18" s="18"/>
    </row>
    <row r="19" spans="1:7" s="15" customFormat="1" ht="15.75" customHeight="1" x14ac:dyDescent="0.25">
      <c r="A19" s="111">
        <v>16</v>
      </c>
      <c r="B19" s="17" t="s">
        <v>58</v>
      </c>
      <c r="C19" s="121">
        <v>42</v>
      </c>
      <c r="D19" s="121">
        <v>15</v>
      </c>
      <c r="E19" s="18" t="s">
        <v>244</v>
      </c>
      <c r="F19" s="18" t="s">
        <v>245</v>
      </c>
      <c r="G19" s="33" t="s">
        <v>234</v>
      </c>
    </row>
    <row r="20" spans="1:7" s="15" customFormat="1" ht="15.75" customHeight="1" x14ac:dyDescent="0.25">
      <c r="A20" s="111">
        <v>17</v>
      </c>
      <c r="B20" s="17" t="s">
        <v>64</v>
      </c>
      <c r="C20" s="121">
        <v>49</v>
      </c>
      <c r="D20" s="121">
        <v>18</v>
      </c>
      <c r="E20" s="18" t="s">
        <v>246</v>
      </c>
      <c r="F20" s="18" t="s">
        <v>247</v>
      </c>
      <c r="G20" s="33" t="s">
        <v>234</v>
      </c>
    </row>
    <row r="21" spans="1:7" ht="15.75" customHeight="1" x14ac:dyDescent="0.25">
      <c r="A21" s="9">
        <v>18</v>
      </c>
      <c r="B21" s="2" t="s">
        <v>248</v>
      </c>
      <c r="C21" s="120">
        <v>41</v>
      </c>
      <c r="D21" s="120">
        <v>14</v>
      </c>
      <c r="E21" s="13" t="s">
        <v>249</v>
      </c>
      <c r="F21" s="13" t="s">
        <v>250</v>
      </c>
      <c r="G21" s="2" t="s">
        <v>242</v>
      </c>
    </row>
    <row r="22" spans="1:7" ht="15.75" customHeight="1" x14ac:dyDescent="0.25">
      <c r="A22" s="9">
        <v>19</v>
      </c>
      <c r="B22" s="2" t="s">
        <v>60</v>
      </c>
      <c r="C22" s="120">
        <v>43</v>
      </c>
      <c r="D22" s="120">
        <v>14</v>
      </c>
      <c r="E22" s="13" t="s">
        <v>251</v>
      </c>
      <c r="F22" s="12" t="s">
        <v>252</v>
      </c>
      <c r="G22" s="8" t="s">
        <v>234</v>
      </c>
    </row>
    <row r="23" spans="1:7" ht="15.75" customHeight="1" x14ac:dyDescent="0.25">
      <c r="A23" s="9">
        <v>20</v>
      </c>
      <c r="B23" s="24" t="s">
        <v>55</v>
      </c>
      <c r="C23" s="120">
        <v>57</v>
      </c>
      <c r="D23" s="120">
        <v>8</v>
      </c>
      <c r="E23" s="2" t="s">
        <v>253</v>
      </c>
      <c r="F23" s="2" t="s">
        <v>254</v>
      </c>
      <c r="G23" s="3"/>
    </row>
    <row r="24" spans="1:7" ht="15.75" customHeight="1" x14ac:dyDescent="0.25">
      <c r="A24" s="9">
        <v>21</v>
      </c>
      <c r="B24" s="24" t="s">
        <v>1653</v>
      </c>
      <c r="C24" s="120">
        <v>42</v>
      </c>
      <c r="D24" s="120">
        <v>11</v>
      </c>
      <c r="E24" s="2" t="s">
        <v>255</v>
      </c>
      <c r="F24" s="2" t="s">
        <v>255</v>
      </c>
      <c r="G24" s="8" t="s">
        <v>234</v>
      </c>
    </row>
    <row r="25" spans="1:7" ht="15.75" customHeight="1" x14ac:dyDescent="0.25">
      <c r="A25" s="9">
        <v>22</v>
      </c>
      <c r="B25" s="2" t="s">
        <v>194</v>
      </c>
      <c r="C25" s="120">
        <v>39</v>
      </c>
      <c r="D25" s="120">
        <v>144</v>
      </c>
      <c r="E25" s="3"/>
      <c r="F25" s="3"/>
      <c r="G25" s="8" t="s">
        <v>234</v>
      </c>
    </row>
    <row r="26" spans="1:7" ht="15.75" customHeight="1" x14ac:dyDescent="0.25">
      <c r="A26" s="9">
        <v>23</v>
      </c>
      <c r="B26" s="2" t="s">
        <v>86</v>
      </c>
      <c r="C26" s="120">
        <v>25</v>
      </c>
      <c r="D26" s="120">
        <v>29</v>
      </c>
      <c r="E26" s="2" t="s">
        <v>256</v>
      </c>
      <c r="F26" s="3"/>
      <c r="G26" s="2" t="s">
        <v>257</v>
      </c>
    </row>
    <row r="27" spans="1:7" ht="15.75" customHeight="1" x14ac:dyDescent="0.25">
      <c r="A27" s="9">
        <v>24</v>
      </c>
      <c r="B27" s="2" t="s">
        <v>98</v>
      </c>
      <c r="C27" s="120">
        <v>55</v>
      </c>
      <c r="D27" s="120">
        <v>28</v>
      </c>
      <c r="E27" s="2" t="s">
        <v>258</v>
      </c>
      <c r="F27" s="2" t="s">
        <v>259</v>
      </c>
      <c r="G27" s="2" t="s">
        <v>260</v>
      </c>
    </row>
    <row r="28" spans="1:7" ht="15.75" customHeight="1" x14ac:dyDescent="0.25">
      <c r="A28" s="9">
        <v>25</v>
      </c>
      <c r="B28" s="2" t="s">
        <v>197</v>
      </c>
      <c r="C28" s="120">
        <v>44</v>
      </c>
      <c r="D28" s="120">
        <v>45</v>
      </c>
      <c r="E28" s="2" t="s">
        <v>261</v>
      </c>
      <c r="F28" s="2" t="s">
        <v>262</v>
      </c>
      <c r="G28" s="2" t="s">
        <v>257</v>
      </c>
    </row>
    <row r="29" spans="1:7" ht="15.75" customHeight="1" x14ac:dyDescent="0.25">
      <c r="A29" s="9">
        <v>26</v>
      </c>
      <c r="B29" s="2" t="s">
        <v>199</v>
      </c>
      <c r="C29" s="120">
        <v>55</v>
      </c>
      <c r="D29" s="120">
        <v>38</v>
      </c>
      <c r="E29" s="2" t="s">
        <v>263</v>
      </c>
      <c r="F29" s="2" t="s">
        <v>264</v>
      </c>
      <c r="G29" s="2" t="s">
        <v>234</v>
      </c>
    </row>
    <row r="30" spans="1:7" ht="15.75" customHeight="1" x14ac:dyDescent="0.25">
      <c r="A30" s="9">
        <v>27</v>
      </c>
      <c r="B30" s="2" t="s">
        <v>108</v>
      </c>
      <c r="C30" s="120">
        <v>46</v>
      </c>
      <c r="D30" s="120">
        <v>12</v>
      </c>
      <c r="E30" s="2" t="s">
        <v>255</v>
      </c>
      <c r="F30" s="2" t="s">
        <v>265</v>
      </c>
      <c r="G30" s="2" t="s">
        <v>266</v>
      </c>
    </row>
    <row r="31" spans="1:7" ht="15.75" customHeight="1" x14ac:dyDescent="0.25">
      <c r="A31" s="9">
        <v>28</v>
      </c>
      <c r="B31" s="2" t="s">
        <v>111</v>
      </c>
      <c r="C31" s="120">
        <v>32</v>
      </c>
      <c r="D31" s="120">
        <v>10</v>
      </c>
      <c r="E31" s="2" t="s">
        <v>267</v>
      </c>
      <c r="F31" s="3"/>
      <c r="G31" s="2" t="s">
        <v>234</v>
      </c>
    </row>
    <row r="32" spans="1:7" ht="15.75" customHeight="1" x14ac:dyDescent="0.25">
      <c r="A32" s="9">
        <v>29</v>
      </c>
      <c r="B32" s="2" t="s">
        <v>100</v>
      </c>
      <c r="C32" s="120">
        <v>33</v>
      </c>
      <c r="D32" s="120">
        <v>29</v>
      </c>
      <c r="E32" s="2" t="s">
        <v>268</v>
      </c>
      <c r="F32" s="2" t="s">
        <v>269</v>
      </c>
      <c r="G32" s="2" t="s">
        <v>234</v>
      </c>
    </row>
    <row r="33" spans="1:7" ht="15.75" customHeight="1" x14ac:dyDescent="0.25">
      <c r="A33" s="9">
        <v>30</v>
      </c>
      <c r="B33" s="2" t="s">
        <v>270</v>
      </c>
      <c r="C33" s="120">
        <v>31</v>
      </c>
      <c r="D33" s="120">
        <v>17</v>
      </c>
      <c r="E33" s="2" t="s">
        <v>271</v>
      </c>
      <c r="F33" s="2" t="s">
        <v>272</v>
      </c>
      <c r="G33" s="2" t="s">
        <v>273</v>
      </c>
    </row>
    <row r="34" spans="1:7" ht="15.75" customHeight="1" x14ac:dyDescent="0.25">
      <c r="A34" s="9">
        <v>31</v>
      </c>
      <c r="B34" s="2" t="s">
        <v>204</v>
      </c>
      <c r="C34" s="120">
        <v>40</v>
      </c>
      <c r="D34" s="120">
        <v>19</v>
      </c>
      <c r="E34" s="2" t="s">
        <v>274</v>
      </c>
      <c r="F34" s="2" t="s">
        <v>274</v>
      </c>
      <c r="G34" s="2" t="s">
        <v>275</v>
      </c>
    </row>
    <row r="35" spans="1:7" ht="15.75" customHeight="1" x14ac:dyDescent="0.25">
      <c r="A35" s="9">
        <v>32</v>
      </c>
      <c r="B35" s="2" t="s">
        <v>118</v>
      </c>
      <c r="C35" s="120">
        <v>29</v>
      </c>
      <c r="D35" s="120">
        <v>21</v>
      </c>
      <c r="E35" s="2" t="s">
        <v>276</v>
      </c>
      <c r="F35" s="2" t="s">
        <v>276</v>
      </c>
      <c r="G35" s="2" t="s">
        <v>275</v>
      </c>
    </row>
    <row r="36" spans="1:7" ht="15.75" customHeight="1" x14ac:dyDescent="0.25">
      <c r="A36" s="9">
        <v>33</v>
      </c>
      <c r="B36" s="2" t="s">
        <v>206</v>
      </c>
      <c r="C36" s="120">
        <v>34</v>
      </c>
      <c r="D36" s="120">
        <v>34</v>
      </c>
      <c r="E36" s="2" t="s">
        <v>277</v>
      </c>
      <c r="F36" s="2" t="s">
        <v>278</v>
      </c>
      <c r="G36" s="2" t="s">
        <v>257</v>
      </c>
    </row>
    <row r="37" spans="1:7" ht="15.75" customHeight="1" x14ac:dyDescent="0.25">
      <c r="A37" s="9">
        <v>34</v>
      </c>
      <c r="B37" s="2" t="s">
        <v>208</v>
      </c>
      <c r="C37" s="120">
        <v>34</v>
      </c>
      <c r="D37" s="120">
        <v>74</v>
      </c>
      <c r="E37" s="2" t="s">
        <v>279</v>
      </c>
      <c r="F37" s="2" t="s">
        <v>280</v>
      </c>
      <c r="G37" s="2" t="s">
        <v>257</v>
      </c>
    </row>
    <row r="38" spans="1:7" ht="15.75" customHeight="1" x14ac:dyDescent="0.25">
      <c r="A38" s="9">
        <v>35</v>
      </c>
      <c r="B38" s="2" t="s">
        <v>121</v>
      </c>
      <c r="C38" s="120">
        <v>32</v>
      </c>
      <c r="D38" s="120">
        <v>20</v>
      </c>
      <c r="E38" s="2" t="s">
        <v>281</v>
      </c>
      <c r="F38" s="2" t="s">
        <v>281</v>
      </c>
      <c r="G38" s="2" t="s">
        <v>282</v>
      </c>
    </row>
    <row r="39" spans="1:7" ht="15.75" customHeight="1" x14ac:dyDescent="0.25">
      <c r="A39" s="9">
        <v>36</v>
      </c>
      <c r="B39" s="2" t="s">
        <v>125</v>
      </c>
      <c r="C39" s="120">
        <v>55</v>
      </c>
      <c r="D39" s="120">
        <v>22</v>
      </c>
      <c r="E39" s="2" t="s">
        <v>283</v>
      </c>
      <c r="F39" s="2" t="s">
        <v>284</v>
      </c>
      <c r="G39" s="2" t="s">
        <v>257</v>
      </c>
    </row>
    <row r="40" spans="1:7" ht="15.75" customHeight="1" x14ac:dyDescent="0.25">
      <c r="A40" s="9">
        <v>37</v>
      </c>
      <c r="B40" s="2" t="s">
        <v>130</v>
      </c>
      <c r="C40" s="120">
        <v>45</v>
      </c>
      <c r="D40" s="120">
        <v>23</v>
      </c>
      <c r="E40" s="2" t="s">
        <v>285</v>
      </c>
      <c r="F40" s="2" t="s">
        <v>286</v>
      </c>
      <c r="G40" s="2" t="s">
        <v>234</v>
      </c>
    </row>
    <row r="41" spans="1:7" ht="15.75" customHeight="1" x14ac:dyDescent="0.25">
      <c r="A41" s="9">
        <v>38</v>
      </c>
      <c r="B41" s="2" t="s">
        <v>212</v>
      </c>
      <c r="C41" s="120">
        <v>57</v>
      </c>
      <c r="D41" s="120">
        <v>22</v>
      </c>
      <c r="E41" s="2" t="s">
        <v>287</v>
      </c>
      <c r="F41" s="2" t="s">
        <v>288</v>
      </c>
      <c r="G41" s="2" t="s">
        <v>234</v>
      </c>
    </row>
    <row r="42" spans="1:7" ht="15.75" customHeight="1" x14ac:dyDescent="0.25">
      <c r="A42" s="9">
        <v>39</v>
      </c>
      <c r="B42" s="2" t="s">
        <v>135</v>
      </c>
      <c r="C42" s="120">
        <v>24</v>
      </c>
      <c r="D42" s="120">
        <v>88</v>
      </c>
      <c r="E42" s="2" t="s">
        <v>237</v>
      </c>
      <c r="F42" s="2" t="s">
        <v>288</v>
      </c>
      <c r="G42" s="2" t="s">
        <v>234</v>
      </c>
    </row>
    <row r="43" spans="1:7" ht="15.75" customHeight="1" x14ac:dyDescent="0.25">
      <c r="A43" s="9">
        <v>40</v>
      </c>
      <c r="B43" s="2" t="s">
        <v>214</v>
      </c>
      <c r="C43" s="120">
        <v>30</v>
      </c>
      <c r="D43" s="120">
        <v>7</v>
      </c>
      <c r="E43" s="2" t="s">
        <v>289</v>
      </c>
      <c r="F43" s="2" t="s">
        <v>290</v>
      </c>
      <c r="G43" s="2" t="s">
        <v>291</v>
      </c>
    </row>
    <row r="44" spans="1:7" ht="15.75" customHeight="1" x14ac:dyDescent="0.25">
      <c r="A44" s="9">
        <v>41</v>
      </c>
      <c r="B44" s="2" t="s">
        <v>139</v>
      </c>
      <c r="C44" s="120">
        <v>40</v>
      </c>
      <c r="D44" s="120">
        <v>7</v>
      </c>
      <c r="E44" s="2" t="s">
        <v>292</v>
      </c>
      <c r="F44" s="2" t="s">
        <v>293</v>
      </c>
      <c r="G44" s="3"/>
    </row>
    <row r="45" spans="1:7" ht="15.75" customHeight="1" x14ac:dyDescent="0.25">
      <c r="A45" s="9">
        <v>42</v>
      </c>
      <c r="B45" s="24" t="s">
        <v>1654</v>
      </c>
      <c r="C45" s="120">
        <v>27</v>
      </c>
      <c r="D45" s="120">
        <v>21</v>
      </c>
      <c r="E45" s="2" t="s">
        <v>294</v>
      </c>
      <c r="F45" s="2" t="s">
        <v>295</v>
      </c>
      <c r="G45" s="2" t="s">
        <v>291</v>
      </c>
    </row>
    <row r="46" spans="1:7" ht="15.75" customHeight="1" x14ac:dyDescent="0.25">
      <c r="A46" s="9">
        <v>43</v>
      </c>
      <c r="B46" s="2" t="s">
        <v>142</v>
      </c>
      <c r="C46" s="120">
        <v>57</v>
      </c>
      <c r="D46" s="120">
        <v>12</v>
      </c>
      <c r="E46" s="2" t="s">
        <v>296</v>
      </c>
      <c r="F46" s="2">
        <v>0</v>
      </c>
      <c r="G46" s="2" t="s">
        <v>291</v>
      </c>
    </row>
    <row r="47" spans="1:7" ht="15.75" customHeight="1" x14ac:dyDescent="0.25">
      <c r="A47" s="9">
        <v>44</v>
      </c>
      <c r="B47" s="2" t="s">
        <v>145</v>
      </c>
      <c r="C47" s="120">
        <v>42</v>
      </c>
      <c r="D47" s="120">
        <v>14</v>
      </c>
      <c r="E47" s="2" t="s">
        <v>297</v>
      </c>
      <c r="F47" s="2" t="s">
        <v>298</v>
      </c>
      <c r="G47" s="2" t="s">
        <v>291</v>
      </c>
    </row>
    <row r="48" spans="1:7" ht="15.75" customHeight="1" x14ac:dyDescent="0.25">
      <c r="A48" s="9">
        <v>45</v>
      </c>
      <c r="B48" s="2" t="s">
        <v>218</v>
      </c>
      <c r="C48" s="120">
        <v>43</v>
      </c>
      <c r="D48" s="120">
        <v>62</v>
      </c>
      <c r="E48" s="2" t="s">
        <v>299</v>
      </c>
      <c r="F48" s="2" t="s">
        <v>300</v>
      </c>
      <c r="G48" s="2" t="s">
        <v>291</v>
      </c>
    </row>
    <row r="49" spans="1:7" ht="15.75" customHeight="1" x14ac:dyDescent="0.25">
      <c r="A49" s="9">
        <v>46</v>
      </c>
      <c r="B49" s="2" t="s">
        <v>220</v>
      </c>
      <c r="C49" s="120">
        <v>31</v>
      </c>
      <c r="D49" s="120">
        <v>49</v>
      </c>
      <c r="E49" s="2" t="s">
        <v>301</v>
      </c>
      <c r="F49" s="2" t="s">
        <v>302</v>
      </c>
      <c r="G49" s="2" t="s">
        <v>291</v>
      </c>
    </row>
    <row r="50" spans="1:7" ht="34.5" customHeight="1" x14ac:dyDescent="0.25">
      <c r="A50" s="9">
        <v>47</v>
      </c>
      <c r="B50" s="14" t="s">
        <v>151</v>
      </c>
      <c r="C50" s="4">
        <v>28</v>
      </c>
      <c r="D50" s="4">
        <v>18</v>
      </c>
      <c r="E50" s="8" t="s">
        <v>303</v>
      </c>
      <c r="F50" s="2"/>
      <c r="G50" s="14" t="s">
        <v>266</v>
      </c>
    </row>
    <row r="51" spans="1:7" ht="15.75" customHeight="1" x14ac:dyDescent="0.25">
      <c r="A51" s="9">
        <v>48</v>
      </c>
      <c r="B51" s="2" t="s">
        <v>162</v>
      </c>
      <c r="C51" s="120">
        <v>58</v>
      </c>
      <c r="D51" s="120">
        <v>11</v>
      </c>
      <c r="E51" s="2" t="s">
        <v>304</v>
      </c>
      <c r="F51" s="3"/>
      <c r="G51" s="2" t="s">
        <v>305</v>
      </c>
    </row>
    <row r="52" spans="1:7" ht="15.75" customHeight="1" x14ac:dyDescent="0.25">
      <c r="A52" s="9">
        <v>49</v>
      </c>
      <c r="B52" s="24" t="s">
        <v>168</v>
      </c>
      <c r="C52" s="120">
        <v>29</v>
      </c>
      <c r="D52" s="120">
        <v>4</v>
      </c>
      <c r="E52" s="2" t="s">
        <v>304</v>
      </c>
      <c r="F52" s="2" t="s">
        <v>306</v>
      </c>
      <c r="G52" s="2" t="s">
        <v>305</v>
      </c>
    </row>
    <row r="53" spans="1:7" ht="15.75" customHeight="1" x14ac:dyDescent="0.25">
      <c r="A53" s="9">
        <v>50</v>
      </c>
      <c r="B53" s="28" t="s">
        <v>1655</v>
      </c>
      <c r="C53" s="120">
        <v>36</v>
      </c>
      <c r="D53" s="28" t="s">
        <v>1660</v>
      </c>
      <c r="E53" s="3"/>
      <c r="F53" s="3"/>
      <c r="G53" s="3"/>
    </row>
    <row r="54" spans="1:7" ht="15.75" customHeight="1" x14ac:dyDescent="0.25">
      <c r="A54" s="9">
        <v>51</v>
      </c>
      <c r="B54" s="28" t="s">
        <v>1656</v>
      </c>
      <c r="C54" s="120">
        <v>46</v>
      </c>
      <c r="D54" s="28" t="s">
        <v>1660</v>
      </c>
      <c r="E54" s="3"/>
      <c r="F54" s="3"/>
      <c r="G54" s="3"/>
    </row>
    <row r="55" spans="1:7" ht="15.75" customHeight="1" x14ac:dyDescent="0.25">
      <c r="A55" s="9">
        <v>52</v>
      </c>
      <c r="B55" s="28" t="s">
        <v>1657</v>
      </c>
      <c r="C55" s="120">
        <v>48</v>
      </c>
      <c r="D55" s="28" t="s">
        <v>1660</v>
      </c>
      <c r="E55" s="3"/>
      <c r="F55" s="3"/>
      <c r="G55" s="3"/>
    </row>
    <row r="56" spans="1:7" ht="15.75" customHeight="1" x14ac:dyDescent="0.25">
      <c r="A56" s="9">
        <v>53</v>
      </c>
      <c r="B56" s="28" t="s">
        <v>1658</v>
      </c>
      <c r="C56" s="120">
        <v>58</v>
      </c>
      <c r="D56" s="28" t="s">
        <v>1660</v>
      </c>
      <c r="E56" s="3"/>
      <c r="F56" s="3"/>
      <c r="G56" s="3"/>
    </row>
    <row r="57" spans="1:7" ht="15.75" customHeight="1" x14ac:dyDescent="0.25">
      <c r="A57" s="116">
        <v>54</v>
      </c>
      <c r="B57" s="117" t="s">
        <v>1659</v>
      </c>
      <c r="C57" s="122">
        <v>53</v>
      </c>
      <c r="D57" s="117" t="s">
        <v>1660</v>
      </c>
      <c r="E57" s="118"/>
      <c r="F57" s="118"/>
      <c r="G57" s="118"/>
    </row>
    <row r="58" spans="1:7" ht="15.75" customHeight="1" x14ac:dyDescent="0.25">
      <c r="A58" s="119"/>
      <c r="B58" s="119"/>
      <c r="C58" s="119"/>
      <c r="D58" s="119"/>
      <c r="E58" s="119"/>
      <c r="F58" s="119"/>
      <c r="G58" s="119"/>
    </row>
    <row r="59" spans="1:7" ht="15.75" customHeight="1" x14ac:dyDescent="0.25"/>
    <row r="60" spans="1:7" ht="15.75" customHeight="1" x14ac:dyDescent="0.25"/>
    <row r="61" spans="1:7" ht="15.75" customHeight="1" x14ac:dyDescent="0.25"/>
    <row r="62" spans="1:7" ht="15.75" customHeight="1" x14ac:dyDescent="0.25"/>
    <row r="63" spans="1:7" ht="15.75" customHeight="1" x14ac:dyDescent="0.25"/>
    <row r="64" spans="1:7"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sheetData>
  <mergeCells count="1">
    <mergeCell ref="A1:G1"/>
  </mergeCells>
  <dataValidations count="2">
    <dataValidation type="list" allowBlank="1" showErrorMessage="1" sqref="F44">
      <formula1>"Padi Sawah (Sistim Tanam Jajar Legowo), Sayuran (TOT Mulsa Alami)"</formula1>
    </dataValidation>
    <dataValidation type="list" allowBlank="1" showErrorMessage="1" sqref="F47">
      <formula1>"Padi Sawah (Sistim Tanam Jajar Legowo), Sayuran (M-TOT)"</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75"/>
  <sheetViews>
    <sheetView topLeftCell="A619" workbookViewId="0">
      <selection activeCell="C15" sqref="C15:C40"/>
    </sheetView>
  </sheetViews>
  <sheetFormatPr defaultColWidth="14.42578125" defaultRowHeight="15" customHeight="1" x14ac:dyDescent="0.25"/>
  <cols>
    <col min="1" max="1" width="6.28515625" style="15" customWidth="1"/>
    <col min="2" max="2" width="19.7109375" style="22" customWidth="1"/>
    <col min="3" max="3" width="26.140625" style="22" customWidth="1"/>
    <col min="4" max="4" width="23.85546875" style="15" customWidth="1"/>
    <col min="5" max="5" width="14.140625" style="40" customWidth="1"/>
    <col min="6" max="6" width="14" style="40" customWidth="1"/>
    <col min="7" max="7" width="13.28515625" style="40" customWidth="1"/>
    <col min="8" max="8" width="27.28515625" style="40" customWidth="1"/>
    <col min="9" max="20" width="15.42578125" style="15" customWidth="1"/>
    <col min="21" max="16384" width="14.42578125" style="15"/>
  </cols>
  <sheetData>
    <row r="1" spans="1:20" ht="21" x14ac:dyDescent="0.35">
      <c r="A1" s="188" t="s">
        <v>1661</v>
      </c>
      <c r="B1" s="189"/>
      <c r="C1" s="189"/>
      <c r="D1" s="189"/>
      <c r="E1" s="189"/>
      <c r="F1" s="189"/>
      <c r="G1" s="189"/>
      <c r="H1" s="189"/>
      <c r="I1" s="29"/>
      <c r="J1" s="29"/>
      <c r="K1" s="29"/>
      <c r="L1" s="29"/>
      <c r="M1" s="29"/>
      <c r="N1" s="29"/>
      <c r="O1" s="29"/>
      <c r="P1" s="29"/>
      <c r="Q1" s="29"/>
      <c r="R1" s="29"/>
      <c r="S1" s="29"/>
      <c r="T1" s="29"/>
    </row>
    <row r="2" spans="1:20" x14ac:dyDescent="0.25">
      <c r="A2" s="30"/>
      <c r="B2" s="31"/>
      <c r="C2" s="31"/>
      <c r="D2" s="29"/>
      <c r="E2" s="39"/>
      <c r="F2" s="39"/>
      <c r="G2" s="39"/>
      <c r="H2" s="39"/>
      <c r="I2" s="29"/>
      <c r="J2" s="29"/>
      <c r="K2" s="29"/>
      <c r="L2" s="29"/>
      <c r="M2" s="29"/>
      <c r="N2" s="29"/>
      <c r="O2" s="29"/>
      <c r="P2" s="29"/>
      <c r="Q2" s="29"/>
      <c r="R2" s="29"/>
      <c r="S2" s="29"/>
      <c r="T2" s="29"/>
    </row>
    <row r="3" spans="1:20" ht="45" customHeight="1" x14ac:dyDescent="0.25">
      <c r="A3" s="167" t="s">
        <v>1</v>
      </c>
      <c r="B3" s="167" t="s">
        <v>307</v>
      </c>
      <c r="C3" s="167" t="s">
        <v>308</v>
      </c>
      <c r="D3" s="167" t="s">
        <v>309</v>
      </c>
      <c r="E3" s="167" t="s">
        <v>310</v>
      </c>
      <c r="F3" s="167" t="s">
        <v>311</v>
      </c>
      <c r="G3" s="167" t="s">
        <v>312</v>
      </c>
      <c r="H3" s="167" t="s">
        <v>313</v>
      </c>
    </row>
    <row r="4" spans="1:20" x14ac:dyDescent="0.25">
      <c r="A4" s="187"/>
      <c r="B4" s="187"/>
      <c r="C4" s="190"/>
      <c r="D4" s="187"/>
      <c r="E4" s="187"/>
      <c r="F4" s="187"/>
      <c r="G4" s="187"/>
      <c r="H4" s="187"/>
    </row>
    <row r="5" spans="1:20" x14ac:dyDescent="0.25">
      <c r="A5" s="32">
        <v>1</v>
      </c>
      <c r="B5" s="181" t="s">
        <v>15</v>
      </c>
      <c r="C5" s="181" t="s">
        <v>314</v>
      </c>
      <c r="D5" s="33" t="s">
        <v>315</v>
      </c>
      <c r="E5" s="16">
        <v>31</v>
      </c>
      <c r="F5" s="16">
        <v>1</v>
      </c>
      <c r="G5" s="16">
        <v>0.5</v>
      </c>
      <c r="H5" s="16" t="s">
        <v>316</v>
      </c>
    </row>
    <row r="6" spans="1:20" x14ac:dyDescent="0.25">
      <c r="A6" s="32">
        <v>2</v>
      </c>
      <c r="B6" s="182"/>
      <c r="C6" s="182"/>
      <c r="D6" s="33" t="s">
        <v>317</v>
      </c>
      <c r="E6" s="16">
        <v>36</v>
      </c>
      <c r="F6" s="16">
        <v>1</v>
      </c>
      <c r="G6" s="16">
        <v>1</v>
      </c>
      <c r="H6" s="16" t="s">
        <v>316</v>
      </c>
    </row>
    <row r="7" spans="1:20" x14ac:dyDescent="0.25">
      <c r="A7" s="32">
        <v>3</v>
      </c>
      <c r="B7" s="182"/>
      <c r="C7" s="182"/>
      <c r="D7" s="33" t="s">
        <v>318</v>
      </c>
      <c r="E7" s="16">
        <v>37</v>
      </c>
      <c r="F7" s="16">
        <v>1</v>
      </c>
      <c r="G7" s="16">
        <v>0.5</v>
      </c>
      <c r="H7" s="16" t="s">
        <v>316</v>
      </c>
    </row>
    <row r="8" spans="1:20" x14ac:dyDescent="0.25">
      <c r="A8" s="32">
        <v>4</v>
      </c>
      <c r="B8" s="182"/>
      <c r="C8" s="182"/>
      <c r="D8" s="33" t="s">
        <v>319</v>
      </c>
      <c r="E8" s="16">
        <v>38</v>
      </c>
      <c r="F8" s="16">
        <v>1</v>
      </c>
      <c r="G8" s="16">
        <v>1</v>
      </c>
      <c r="H8" s="16" t="s">
        <v>320</v>
      </c>
    </row>
    <row r="9" spans="1:20" x14ac:dyDescent="0.25">
      <c r="A9" s="32">
        <v>5</v>
      </c>
      <c r="B9" s="183"/>
      <c r="C9" s="183"/>
      <c r="D9" s="33" t="s">
        <v>321</v>
      </c>
      <c r="E9" s="16">
        <v>44</v>
      </c>
      <c r="F9" s="16">
        <v>1</v>
      </c>
      <c r="G9" s="16">
        <v>1</v>
      </c>
      <c r="H9" s="16" t="s">
        <v>320</v>
      </c>
    </row>
    <row r="10" spans="1:20" x14ac:dyDescent="0.25">
      <c r="A10" s="32">
        <v>6</v>
      </c>
      <c r="B10" s="184" t="s">
        <v>22</v>
      </c>
      <c r="C10" s="181" t="s">
        <v>322</v>
      </c>
      <c r="D10" s="33" t="s">
        <v>323</v>
      </c>
      <c r="E10" s="16">
        <v>39</v>
      </c>
      <c r="F10" s="16">
        <v>2</v>
      </c>
      <c r="G10" s="16">
        <v>2</v>
      </c>
      <c r="H10" s="16" t="s">
        <v>316</v>
      </c>
    </row>
    <row r="11" spans="1:20" x14ac:dyDescent="0.25">
      <c r="A11" s="32">
        <v>7</v>
      </c>
      <c r="B11" s="185"/>
      <c r="C11" s="182"/>
      <c r="D11" s="33" t="s">
        <v>324</v>
      </c>
      <c r="E11" s="16">
        <v>52</v>
      </c>
      <c r="F11" s="16">
        <v>2</v>
      </c>
      <c r="G11" s="16">
        <v>2</v>
      </c>
      <c r="H11" s="16" t="s">
        <v>316</v>
      </c>
    </row>
    <row r="12" spans="1:20" x14ac:dyDescent="0.25">
      <c r="A12" s="32">
        <v>8</v>
      </c>
      <c r="B12" s="185"/>
      <c r="C12" s="182"/>
      <c r="D12" s="33" t="s">
        <v>325</v>
      </c>
      <c r="E12" s="16">
        <v>34</v>
      </c>
      <c r="F12" s="16">
        <v>2</v>
      </c>
      <c r="G12" s="16">
        <v>1</v>
      </c>
      <c r="H12" s="16" t="s">
        <v>316</v>
      </c>
    </row>
    <row r="13" spans="1:20" x14ac:dyDescent="0.25">
      <c r="A13" s="32">
        <v>9</v>
      </c>
      <c r="B13" s="185"/>
      <c r="C13" s="182"/>
      <c r="D13" s="33" t="s">
        <v>326</v>
      </c>
      <c r="E13" s="16">
        <v>67</v>
      </c>
      <c r="F13" s="16">
        <v>7</v>
      </c>
      <c r="G13" s="16">
        <v>2</v>
      </c>
      <c r="H13" s="16" t="s">
        <v>327</v>
      </c>
    </row>
    <row r="14" spans="1:20" x14ac:dyDescent="0.25">
      <c r="A14" s="32">
        <v>10</v>
      </c>
      <c r="B14" s="186"/>
      <c r="C14" s="183"/>
      <c r="D14" s="33" t="s">
        <v>328</v>
      </c>
      <c r="E14" s="16">
        <v>33</v>
      </c>
      <c r="F14" s="16">
        <v>1</v>
      </c>
      <c r="G14" s="16">
        <v>1</v>
      </c>
      <c r="H14" s="16" t="s">
        <v>316</v>
      </c>
    </row>
    <row r="15" spans="1:20" x14ac:dyDescent="0.25">
      <c r="A15" s="32">
        <v>11</v>
      </c>
      <c r="B15" s="181" t="s">
        <v>62</v>
      </c>
      <c r="C15" s="181" t="s">
        <v>329</v>
      </c>
      <c r="D15" s="20" t="s">
        <v>330</v>
      </c>
      <c r="E15" s="16">
        <f>2025-1978</f>
        <v>47</v>
      </c>
      <c r="F15" s="19"/>
      <c r="G15" s="19" t="s">
        <v>331</v>
      </c>
      <c r="H15" s="16"/>
    </row>
    <row r="16" spans="1:20" x14ac:dyDescent="0.25">
      <c r="A16" s="32">
        <v>12</v>
      </c>
      <c r="B16" s="182"/>
      <c r="C16" s="182"/>
      <c r="D16" s="20" t="s">
        <v>332</v>
      </c>
      <c r="E16" s="16">
        <f>2025-1979</f>
        <v>46</v>
      </c>
      <c r="F16" s="19"/>
      <c r="G16" s="19" t="s">
        <v>333</v>
      </c>
      <c r="H16" s="16"/>
    </row>
    <row r="17" spans="1:8" x14ac:dyDescent="0.25">
      <c r="A17" s="32">
        <v>13</v>
      </c>
      <c r="B17" s="182"/>
      <c r="C17" s="182"/>
      <c r="D17" s="20" t="s">
        <v>334</v>
      </c>
      <c r="E17" s="16">
        <f>2025-1979</f>
        <v>46</v>
      </c>
      <c r="F17" s="19"/>
      <c r="G17" s="19" t="s">
        <v>335</v>
      </c>
      <c r="H17" s="16"/>
    </row>
    <row r="18" spans="1:8" x14ac:dyDescent="0.25">
      <c r="A18" s="32">
        <v>14</v>
      </c>
      <c r="B18" s="182"/>
      <c r="C18" s="182"/>
      <c r="D18" s="20" t="s">
        <v>336</v>
      </c>
      <c r="E18" s="16">
        <f>2025-1978</f>
        <v>47</v>
      </c>
      <c r="F18" s="19"/>
      <c r="G18" s="19" t="s">
        <v>335</v>
      </c>
      <c r="H18" s="16"/>
    </row>
    <row r="19" spans="1:8" x14ac:dyDescent="0.25">
      <c r="A19" s="32">
        <v>15</v>
      </c>
      <c r="B19" s="182"/>
      <c r="C19" s="182"/>
      <c r="D19" s="20" t="s">
        <v>337</v>
      </c>
      <c r="E19" s="16">
        <f>2025-1963</f>
        <v>62</v>
      </c>
      <c r="F19" s="19"/>
      <c r="G19" s="19" t="s">
        <v>338</v>
      </c>
      <c r="H19" s="16"/>
    </row>
    <row r="20" spans="1:8" x14ac:dyDescent="0.25">
      <c r="A20" s="32">
        <v>16</v>
      </c>
      <c r="B20" s="182"/>
      <c r="C20" s="182"/>
      <c r="D20" s="20" t="s">
        <v>339</v>
      </c>
      <c r="E20" s="16">
        <f>2025-1975</f>
        <v>50</v>
      </c>
      <c r="F20" s="19"/>
      <c r="G20" s="19" t="s">
        <v>340</v>
      </c>
      <c r="H20" s="16"/>
    </row>
    <row r="21" spans="1:8" x14ac:dyDescent="0.25">
      <c r="A21" s="32">
        <v>17</v>
      </c>
      <c r="B21" s="182"/>
      <c r="C21" s="182"/>
      <c r="D21" s="20" t="s">
        <v>341</v>
      </c>
      <c r="E21" s="16">
        <f>2025-1968</f>
        <v>57</v>
      </c>
      <c r="F21" s="19"/>
      <c r="G21" s="19" t="s">
        <v>342</v>
      </c>
      <c r="H21" s="16"/>
    </row>
    <row r="22" spans="1:8" x14ac:dyDescent="0.25">
      <c r="A22" s="32">
        <v>18</v>
      </c>
      <c r="B22" s="182"/>
      <c r="C22" s="182"/>
      <c r="D22" s="20" t="s">
        <v>343</v>
      </c>
      <c r="E22" s="16">
        <f>2025-1952</f>
        <v>73</v>
      </c>
      <c r="F22" s="19"/>
      <c r="G22" s="19" t="s">
        <v>344</v>
      </c>
      <c r="H22" s="16"/>
    </row>
    <row r="23" spans="1:8" x14ac:dyDescent="0.25">
      <c r="A23" s="32">
        <v>19</v>
      </c>
      <c r="B23" s="182"/>
      <c r="C23" s="182"/>
      <c r="D23" s="20" t="s">
        <v>345</v>
      </c>
      <c r="E23" s="16">
        <f>2025-1976</f>
        <v>49</v>
      </c>
      <c r="F23" s="19"/>
      <c r="G23" s="19" t="s">
        <v>346</v>
      </c>
      <c r="H23" s="16"/>
    </row>
    <row r="24" spans="1:8" x14ac:dyDescent="0.25">
      <c r="A24" s="32">
        <v>20</v>
      </c>
      <c r="B24" s="182"/>
      <c r="C24" s="182"/>
      <c r="D24" s="20" t="s">
        <v>347</v>
      </c>
      <c r="E24" s="16">
        <f>2025-1962</f>
        <v>63</v>
      </c>
      <c r="F24" s="19"/>
      <c r="G24" s="19" t="s">
        <v>348</v>
      </c>
      <c r="H24" s="16"/>
    </row>
    <row r="25" spans="1:8" x14ac:dyDescent="0.25">
      <c r="A25" s="32">
        <v>21</v>
      </c>
      <c r="B25" s="182"/>
      <c r="C25" s="182"/>
      <c r="D25" s="20" t="s">
        <v>349</v>
      </c>
      <c r="E25" s="16">
        <f>2025-1962</f>
        <v>63</v>
      </c>
      <c r="F25" s="19"/>
      <c r="G25" s="19" t="s">
        <v>350</v>
      </c>
      <c r="H25" s="16"/>
    </row>
    <row r="26" spans="1:8" x14ac:dyDescent="0.25">
      <c r="A26" s="32">
        <v>22</v>
      </c>
      <c r="B26" s="182"/>
      <c r="C26" s="182"/>
      <c r="D26" s="20" t="s">
        <v>351</v>
      </c>
      <c r="E26" s="16">
        <f>2025-1949</f>
        <v>76</v>
      </c>
      <c r="F26" s="19"/>
      <c r="G26" s="19" t="s">
        <v>335</v>
      </c>
      <c r="H26" s="16"/>
    </row>
    <row r="27" spans="1:8" x14ac:dyDescent="0.25">
      <c r="A27" s="32">
        <v>23</v>
      </c>
      <c r="B27" s="182"/>
      <c r="C27" s="182"/>
      <c r="D27" s="20" t="s">
        <v>352</v>
      </c>
      <c r="E27" s="16">
        <f>2025-1972</f>
        <v>53</v>
      </c>
      <c r="F27" s="19"/>
      <c r="G27" s="19" t="s">
        <v>353</v>
      </c>
      <c r="H27" s="16"/>
    </row>
    <row r="28" spans="1:8" x14ac:dyDescent="0.25">
      <c r="A28" s="32">
        <v>24</v>
      </c>
      <c r="B28" s="182"/>
      <c r="C28" s="182"/>
      <c r="D28" s="20" t="s">
        <v>354</v>
      </c>
      <c r="E28" s="16">
        <f>2025-1965</f>
        <v>60</v>
      </c>
      <c r="F28" s="19"/>
      <c r="G28" s="19" t="s">
        <v>355</v>
      </c>
      <c r="H28" s="16"/>
    </row>
    <row r="29" spans="1:8" x14ac:dyDescent="0.25">
      <c r="A29" s="32">
        <v>25</v>
      </c>
      <c r="B29" s="182"/>
      <c r="C29" s="182"/>
      <c r="D29" s="20" t="s">
        <v>356</v>
      </c>
      <c r="E29" s="16">
        <f>2025-1982</f>
        <v>43</v>
      </c>
      <c r="F29" s="19"/>
      <c r="G29" s="19" t="s">
        <v>357</v>
      </c>
      <c r="H29" s="16"/>
    </row>
    <row r="30" spans="1:8" x14ac:dyDescent="0.25">
      <c r="A30" s="32">
        <v>26</v>
      </c>
      <c r="B30" s="182"/>
      <c r="C30" s="182"/>
      <c r="D30" s="20" t="s">
        <v>358</v>
      </c>
      <c r="E30" s="16">
        <f>2025-1976</f>
        <v>49</v>
      </c>
      <c r="F30" s="19"/>
      <c r="G30" s="19" t="s">
        <v>359</v>
      </c>
      <c r="H30" s="16"/>
    </row>
    <row r="31" spans="1:8" x14ac:dyDescent="0.25">
      <c r="A31" s="32">
        <v>27</v>
      </c>
      <c r="B31" s="182"/>
      <c r="C31" s="182"/>
      <c r="D31" s="20" t="s">
        <v>360</v>
      </c>
      <c r="E31" s="16">
        <f>2025-1978</f>
        <v>47</v>
      </c>
      <c r="F31" s="19"/>
      <c r="G31" s="19" t="s">
        <v>361</v>
      </c>
      <c r="H31" s="16"/>
    </row>
    <row r="32" spans="1:8" x14ac:dyDescent="0.25">
      <c r="A32" s="32">
        <v>28</v>
      </c>
      <c r="B32" s="182"/>
      <c r="C32" s="182"/>
      <c r="D32" s="20" t="s">
        <v>362</v>
      </c>
      <c r="E32" s="16">
        <f>2025-1983</f>
        <v>42</v>
      </c>
      <c r="F32" s="19"/>
      <c r="G32" s="19" t="s">
        <v>363</v>
      </c>
      <c r="H32" s="16"/>
    </row>
    <row r="33" spans="1:8" x14ac:dyDescent="0.25">
      <c r="A33" s="32">
        <v>29</v>
      </c>
      <c r="B33" s="182"/>
      <c r="C33" s="182"/>
      <c r="D33" s="20" t="s">
        <v>364</v>
      </c>
      <c r="E33" s="16">
        <f>2025-1974</f>
        <v>51</v>
      </c>
      <c r="F33" s="19"/>
      <c r="G33" s="19" t="s">
        <v>355</v>
      </c>
      <c r="H33" s="16"/>
    </row>
    <row r="34" spans="1:8" x14ac:dyDescent="0.25">
      <c r="A34" s="32">
        <v>30</v>
      </c>
      <c r="B34" s="182"/>
      <c r="C34" s="182"/>
      <c r="D34" s="20" t="s">
        <v>365</v>
      </c>
      <c r="E34" s="16">
        <f>2025-1984</f>
        <v>41</v>
      </c>
      <c r="F34" s="19"/>
      <c r="G34" s="19" t="s">
        <v>344</v>
      </c>
      <c r="H34" s="16"/>
    </row>
    <row r="35" spans="1:8" x14ac:dyDescent="0.25">
      <c r="A35" s="32">
        <v>31</v>
      </c>
      <c r="B35" s="182"/>
      <c r="C35" s="182"/>
      <c r="D35" s="20" t="s">
        <v>366</v>
      </c>
      <c r="E35" s="16">
        <f>2025-1982</f>
        <v>43</v>
      </c>
      <c r="F35" s="19"/>
      <c r="G35" s="19" t="s">
        <v>355</v>
      </c>
      <c r="H35" s="16"/>
    </row>
    <row r="36" spans="1:8" x14ac:dyDescent="0.25">
      <c r="A36" s="32">
        <v>32</v>
      </c>
      <c r="B36" s="182"/>
      <c r="C36" s="182"/>
      <c r="D36" s="20" t="s">
        <v>367</v>
      </c>
      <c r="E36" s="16">
        <f>2025-1972</f>
        <v>53</v>
      </c>
      <c r="F36" s="19"/>
      <c r="G36" s="19" t="s">
        <v>368</v>
      </c>
      <c r="H36" s="16"/>
    </row>
    <row r="37" spans="1:8" x14ac:dyDescent="0.25">
      <c r="A37" s="32">
        <v>33</v>
      </c>
      <c r="B37" s="182"/>
      <c r="C37" s="182"/>
      <c r="D37" s="20" t="s">
        <v>369</v>
      </c>
      <c r="E37" s="16">
        <f>2025-1964</f>
        <v>61</v>
      </c>
      <c r="F37" s="19"/>
      <c r="G37" s="19" t="s">
        <v>370</v>
      </c>
      <c r="H37" s="16"/>
    </row>
    <row r="38" spans="1:8" x14ac:dyDescent="0.25">
      <c r="A38" s="32">
        <v>34</v>
      </c>
      <c r="B38" s="182"/>
      <c r="C38" s="182"/>
      <c r="D38" s="20" t="s">
        <v>371</v>
      </c>
      <c r="E38" s="16">
        <f>2025-1977</f>
        <v>48</v>
      </c>
      <c r="F38" s="19"/>
      <c r="G38" s="19" t="s">
        <v>372</v>
      </c>
      <c r="H38" s="16"/>
    </row>
    <row r="39" spans="1:8" x14ac:dyDescent="0.25">
      <c r="A39" s="32">
        <v>35</v>
      </c>
      <c r="B39" s="182"/>
      <c r="C39" s="182"/>
      <c r="D39" s="20" t="s">
        <v>373</v>
      </c>
      <c r="E39" s="16">
        <f>2025-1971</f>
        <v>54</v>
      </c>
      <c r="F39" s="19"/>
      <c r="G39" s="19" t="s">
        <v>374</v>
      </c>
      <c r="H39" s="16"/>
    </row>
    <row r="40" spans="1:8" x14ac:dyDescent="0.25">
      <c r="A40" s="32">
        <v>36</v>
      </c>
      <c r="B40" s="182"/>
      <c r="C40" s="183"/>
      <c r="D40" s="20" t="s">
        <v>375</v>
      </c>
      <c r="E40" s="16">
        <f>2025-1971</f>
        <v>54</v>
      </c>
      <c r="F40" s="19"/>
      <c r="G40" s="19" t="s">
        <v>376</v>
      </c>
      <c r="H40" s="16"/>
    </row>
    <row r="41" spans="1:8" x14ac:dyDescent="0.25">
      <c r="A41" s="32">
        <v>37</v>
      </c>
      <c r="B41" s="182"/>
      <c r="C41" s="181" t="s">
        <v>377</v>
      </c>
      <c r="D41" s="20" t="s">
        <v>378</v>
      </c>
      <c r="E41" s="16">
        <f>2025-1977</f>
        <v>48</v>
      </c>
      <c r="F41" s="19"/>
      <c r="G41" s="19" t="s">
        <v>355</v>
      </c>
      <c r="H41" s="16"/>
    </row>
    <row r="42" spans="1:8" x14ac:dyDescent="0.25">
      <c r="A42" s="32">
        <v>38</v>
      </c>
      <c r="B42" s="182"/>
      <c r="C42" s="182"/>
      <c r="D42" s="20" t="s">
        <v>379</v>
      </c>
      <c r="E42" s="16">
        <f>2025-1959</f>
        <v>66</v>
      </c>
      <c r="F42" s="19"/>
      <c r="G42" s="19" t="s">
        <v>346</v>
      </c>
      <c r="H42" s="16"/>
    </row>
    <row r="43" spans="1:8" x14ac:dyDescent="0.25">
      <c r="A43" s="32">
        <v>39</v>
      </c>
      <c r="B43" s="182"/>
      <c r="C43" s="182"/>
      <c r="D43" s="20" t="s">
        <v>349</v>
      </c>
      <c r="E43" s="16">
        <f>2025-1976</f>
        <v>49</v>
      </c>
      <c r="F43" s="19"/>
      <c r="G43" s="19" t="s">
        <v>342</v>
      </c>
      <c r="H43" s="16"/>
    </row>
    <row r="44" spans="1:8" x14ac:dyDescent="0.25">
      <c r="A44" s="32">
        <v>40</v>
      </c>
      <c r="B44" s="182"/>
      <c r="C44" s="182"/>
      <c r="D44" s="20" t="s">
        <v>380</v>
      </c>
      <c r="E44" s="16">
        <f>2025-1990</f>
        <v>35</v>
      </c>
      <c r="F44" s="19"/>
      <c r="G44" s="19" t="s">
        <v>381</v>
      </c>
      <c r="H44" s="16"/>
    </row>
    <row r="45" spans="1:8" x14ac:dyDescent="0.25">
      <c r="A45" s="32">
        <v>41</v>
      </c>
      <c r="B45" s="182"/>
      <c r="C45" s="182"/>
      <c r="D45" s="20" t="s">
        <v>351</v>
      </c>
      <c r="E45" s="16">
        <f>2025-1983</f>
        <v>42</v>
      </c>
      <c r="F45" s="19"/>
      <c r="G45" s="19" t="s">
        <v>382</v>
      </c>
      <c r="H45" s="16"/>
    </row>
    <row r="46" spans="1:8" x14ac:dyDescent="0.25">
      <c r="A46" s="32">
        <v>42</v>
      </c>
      <c r="B46" s="182"/>
      <c r="C46" s="182"/>
      <c r="D46" s="20" t="s">
        <v>383</v>
      </c>
      <c r="E46" s="16">
        <f>2025-1967</f>
        <v>58</v>
      </c>
      <c r="F46" s="19"/>
      <c r="G46" s="19" t="s">
        <v>384</v>
      </c>
      <c r="H46" s="16"/>
    </row>
    <row r="47" spans="1:8" x14ac:dyDescent="0.25">
      <c r="A47" s="32">
        <v>43</v>
      </c>
      <c r="B47" s="182"/>
      <c r="C47" s="182"/>
      <c r="D47" s="20" t="s">
        <v>385</v>
      </c>
      <c r="E47" s="16">
        <f>2025-1969</f>
        <v>56</v>
      </c>
      <c r="F47" s="19"/>
      <c r="G47" s="19" t="s">
        <v>386</v>
      </c>
      <c r="H47" s="16"/>
    </row>
    <row r="48" spans="1:8" x14ac:dyDescent="0.25">
      <c r="A48" s="32">
        <v>44</v>
      </c>
      <c r="B48" s="182"/>
      <c r="C48" s="182"/>
      <c r="D48" s="20" t="s">
        <v>387</v>
      </c>
      <c r="E48" s="16">
        <f>2025-1977</f>
        <v>48</v>
      </c>
      <c r="F48" s="19"/>
      <c r="G48" s="19" t="s">
        <v>388</v>
      </c>
      <c r="H48" s="16"/>
    </row>
    <row r="49" spans="1:8" x14ac:dyDescent="0.25">
      <c r="A49" s="32">
        <v>45</v>
      </c>
      <c r="B49" s="182"/>
      <c r="C49" s="182"/>
      <c r="D49" s="20" t="s">
        <v>389</v>
      </c>
      <c r="E49" s="16">
        <f>2025-1959</f>
        <v>66</v>
      </c>
      <c r="F49" s="19"/>
      <c r="G49" s="19" t="s">
        <v>346</v>
      </c>
      <c r="H49" s="16"/>
    </row>
    <row r="50" spans="1:8" x14ac:dyDescent="0.25">
      <c r="A50" s="32">
        <v>46</v>
      </c>
      <c r="B50" s="182"/>
      <c r="C50" s="182"/>
      <c r="D50" s="20" t="s">
        <v>390</v>
      </c>
      <c r="E50" s="16">
        <f>2025-1965</f>
        <v>60</v>
      </c>
      <c r="F50" s="19"/>
      <c r="G50" s="19" t="s">
        <v>381</v>
      </c>
      <c r="H50" s="16"/>
    </row>
    <row r="51" spans="1:8" x14ac:dyDescent="0.25">
      <c r="A51" s="32">
        <v>47</v>
      </c>
      <c r="B51" s="182"/>
      <c r="C51" s="182"/>
      <c r="D51" s="20" t="s">
        <v>391</v>
      </c>
      <c r="E51" s="16">
        <f>2025-1976</f>
        <v>49</v>
      </c>
      <c r="F51" s="19"/>
      <c r="G51" s="19" t="s">
        <v>338</v>
      </c>
      <c r="H51" s="16"/>
    </row>
    <row r="52" spans="1:8" x14ac:dyDescent="0.25">
      <c r="A52" s="32">
        <v>48</v>
      </c>
      <c r="B52" s="182"/>
      <c r="C52" s="182"/>
      <c r="D52" s="20" t="s">
        <v>392</v>
      </c>
      <c r="E52" s="16">
        <f>2025-1981</f>
        <v>44</v>
      </c>
      <c r="F52" s="19"/>
      <c r="G52" s="19" t="s">
        <v>340</v>
      </c>
      <c r="H52" s="16"/>
    </row>
    <row r="53" spans="1:8" x14ac:dyDescent="0.25">
      <c r="A53" s="32">
        <v>49</v>
      </c>
      <c r="B53" s="182"/>
      <c r="C53" s="182"/>
      <c r="D53" s="20" t="s">
        <v>393</v>
      </c>
      <c r="E53" s="16">
        <f>2025-1945</f>
        <v>80</v>
      </c>
      <c r="F53" s="19"/>
      <c r="G53" s="19" t="s">
        <v>394</v>
      </c>
      <c r="H53" s="16"/>
    </row>
    <row r="54" spans="1:8" x14ac:dyDescent="0.25">
      <c r="A54" s="32">
        <v>50</v>
      </c>
      <c r="B54" s="182"/>
      <c r="C54" s="182"/>
      <c r="D54" s="20" t="s">
        <v>389</v>
      </c>
      <c r="E54" s="16">
        <f>2025-1965</f>
        <v>60</v>
      </c>
      <c r="F54" s="19"/>
      <c r="G54" s="19" t="s">
        <v>355</v>
      </c>
      <c r="H54" s="16"/>
    </row>
    <row r="55" spans="1:8" x14ac:dyDescent="0.25">
      <c r="A55" s="32">
        <v>51</v>
      </c>
      <c r="B55" s="182"/>
      <c r="C55" s="182"/>
      <c r="D55" s="20" t="s">
        <v>395</v>
      </c>
      <c r="E55" s="16">
        <f>2025-1975</f>
        <v>50</v>
      </c>
      <c r="F55" s="19"/>
      <c r="G55" s="19" t="s">
        <v>346</v>
      </c>
      <c r="H55" s="16"/>
    </row>
    <row r="56" spans="1:8" x14ac:dyDescent="0.25">
      <c r="A56" s="32">
        <v>52</v>
      </c>
      <c r="B56" s="182"/>
      <c r="C56" s="182"/>
      <c r="D56" s="20" t="s">
        <v>396</v>
      </c>
      <c r="E56" s="16">
        <f>2025-1970</f>
        <v>55</v>
      </c>
      <c r="F56" s="19"/>
      <c r="G56" s="19" t="s">
        <v>359</v>
      </c>
      <c r="H56" s="16"/>
    </row>
    <row r="57" spans="1:8" x14ac:dyDescent="0.25">
      <c r="A57" s="32">
        <v>53</v>
      </c>
      <c r="B57" s="182"/>
      <c r="C57" s="182"/>
      <c r="D57" s="20" t="s">
        <v>397</v>
      </c>
      <c r="E57" s="16">
        <f>2025-1970</f>
        <v>55</v>
      </c>
      <c r="F57" s="19"/>
      <c r="G57" s="19" t="s">
        <v>398</v>
      </c>
      <c r="H57" s="16"/>
    </row>
    <row r="58" spans="1:8" x14ac:dyDescent="0.25">
      <c r="A58" s="32">
        <v>54</v>
      </c>
      <c r="B58" s="182"/>
      <c r="C58" s="182"/>
      <c r="D58" s="20" t="s">
        <v>399</v>
      </c>
      <c r="E58" s="16">
        <f>2025-1975</f>
        <v>50</v>
      </c>
      <c r="F58" s="19"/>
      <c r="G58" s="19" t="s">
        <v>381</v>
      </c>
      <c r="H58" s="16"/>
    </row>
    <row r="59" spans="1:8" x14ac:dyDescent="0.25">
      <c r="A59" s="32">
        <v>55</v>
      </c>
      <c r="B59" s="182"/>
      <c r="C59" s="182"/>
      <c r="D59" s="20" t="s">
        <v>400</v>
      </c>
      <c r="E59" s="16">
        <f>2025-1980</f>
        <v>45</v>
      </c>
      <c r="F59" s="19"/>
      <c r="G59" s="19" t="s">
        <v>401</v>
      </c>
      <c r="H59" s="16"/>
    </row>
    <row r="60" spans="1:8" x14ac:dyDescent="0.25">
      <c r="A60" s="32">
        <v>56</v>
      </c>
      <c r="B60" s="182"/>
      <c r="C60" s="182"/>
      <c r="D60" s="20" t="s">
        <v>402</v>
      </c>
      <c r="E60" s="16">
        <f>2025-1977</f>
        <v>48</v>
      </c>
      <c r="F60" s="19"/>
      <c r="G60" s="19" t="s">
        <v>331</v>
      </c>
      <c r="H60" s="16"/>
    </row>
    <row r="61" spans="1:8" x14ac:dyDescent="0.25">
      <c r="A61" s="32">
        <v>57</v>
      </c>
      <c r="B61" s="182"/>
      <c r="C61" s="182"/>
      <c r="D61" s="20" t="s">
        <v>403</v>
      </c>
      <c r="E61" s="16">
        <f>2025-1962</f>
        <v>63</v>
      </c>
      <c r="F61" s="19"/>
      <c r="G61" s="19" t="s">
        <v>404</v>
      </c>
      <c r="H61" s="16"/>
    </row>
    <row r="62" spans="1:8" x14ac:dyDescent="0.25">
      <c r="A62" s="32">
        <v>58</v>
      </c>
      <c r="B62" s="182"/>
      <c r="C62" s="182"/>
      <c r="D62" s="20" t="s">
        <v>405</v>
      </c>
      <c r="E62" s="16">
        <f>2025-1960</f>
        <v>65</v>
      </c>
      <c r="F62" s="19"/>
      <c r="G62" s="19" t="s">
        <v>406</v>
      </c>
      <c r="H62" s="16"/>
    </row>
    <row r="63" spans="1:8" x14ac:dyDescent="0.25">
      <c r="A63" s="32">
        <v>59</v>
      </c>
      <c r="B63" s="182"/>
      <c r="C63" s="182"/>
      <c r="D63" s="20" t="s">
        <v>407</v>
      </c>
      <c r="E63" s="16">
        <f>2025-1992</f>
        <v>33</v>
      </c>
      <c r="F63" s="19"/>
      <c r="G63" s="19" t="s">
        <v>386</v>
      </c>
      <c r="H63" s="16"/>
    </row>
    <row r="64" spans="1:8" x14ac:dyDescent="0.25">
      <c r="A64" s="32">
        <v>60</v>
      </c>
      <c r="B64" s="182"/>
      <c r="C64" s="182"/>
      <c r="D64" s="20" t="s">
        <v>408</v>
      </c>
      <c r="E64" s="16">
        <f>2025-1967</f>
        <v>58</v>
      </c>
      <c r="F64" s="19"/>
      <c r="G64" s="19" t="s">
        <v>355</v>
      </c>
      <c r="H64" s="16"/>
    </row>
    <row r="65" spans="1:8" x14ac:dyDescent="0.25">
      <c r="A65" s="32">
        <v>61</v>
      </c>
      <c r="B65" s="182"/>
      <c r="C65" s="182"/>
      <c r="D65" s="20" t="s">
        <v>409</v>
      </c>
      <c r="E65" s="16">
        <f>2025-1975</f>
        <v>50</v>
      </c>
      <c r="F65" s="19"/>
      <c r="G65" s="19" t="s">
        <v>338</v>
      </c>
      <c r="H65" s="16"/>
    </row>
    <row r="66" spans="1:8" x14ac:dyDescent="0.25">
      <c r="A66" s="32">
        <v>62</v>
      </c>
      <c r="B66" s="182"/>
      <c r="C66" s="182"/>
      <c r="D66" s="20" t="s">
        <v>410</v>
      </c>
      <c r="E66" s="16">
        <f>2025-1973</f>
        <v>52</v>
      </c>
      <c r="F66" s="19"/>
      <c r="G66" s="19" t="s">
        <v>411</v>
      </c>
      <c r="H66" s="16"/>
    </row>
    <row r="67" spans="1:8" x14ac:dyDescent="0.25">
      <c r="A67" s="32">
        <v>63</v>
      </c>
      <c r="B67" s="182"/>
      <c r="C67" s="183"/>
      <c r="D67" s="20" t="s">
        <v>412</v>
      </c>
      <c r="E67" s="16">
        <f>2025-1954</f>
        <v>71</v>
      </c>
      <c r="F67" s="19"/>
      <c r="G67" s="19" t="s">
        <v>346</v>
      </c>
      <c r="H67" s="16"/>
    </row>
    <row r="68" spans="1:8" x14ac:dyDescent="0.25">
      <c r="A68" s="32">
        <v>64</v>
      </c>
      <c r="B68" s="182"/>
      <c r="C68" s="181" t="s">
        <v>413</v>
      </c>
      <c r="D68" s="20" t="s">
        <v>414</v>
      </c>
      <c r="E68" s="16">
        <f>2025-1973</f>
        <v>52</v>
      </c>
      <c r="F68" s="19"/>
      <c r="G68" s="19" t="s">
        <v>382</v>
      </c>
      <c r="H68" s="16"/>
    </row>
    <row r="69" spans="1:8" x14ac:dyDescent="0.25">
      <c r="A69" s="32">
        <v>65</v>
      </c>
      <c r="B69" s="182"/>
      <c r="C69" s="182"/>
      <c r="D69" s="20" t="s">
        <v>415</v>
      </c>
      <c r="E69" s="16">
        <f>2025-1963</f>
        <v>62</v>
      </c>
      <c r="F69" s="19"/>
      <c r="G69" s="19" t="s">
        <v>416</v>
      </c>
      <c r="H69" s="16"/>
    </row>
    <row r="70" spans="1:8" x14ac:dyDescent="0.25">
      <c r="A70" s="32">
        <v>66</v>
      </c>
      <c r="B70" s="182"/>
      <c r="C70" s="182"/>
      <c r="D70" s="20" t="s">
        <v>417</v>
      </c>
      <c r="E70" s="16">
        <f>2025-1963</f>
        <v>62</v>
      </c>
      <c r="F70" s="19"/>
      <c r="G70" s="19" t="s">
        <v>416</v>
      </c>
      <c r="H70" s="16"/>
    </row>
    <row r="71" spans="1:8" x14ac:dyDescent="0.25">
      <c r="A71" s="32">
        <v>67</v>
      </c>
      <c r="B71" s="182"/>
      <c r="C71" s="182"/>
      <c r="D71" s="20" t="s">
        <v>418</v>
      </c>
      <c r="E71" s="16">
        <f>2025-1977</f>
        <v>48</v>
      </c>
      <c r="F71" s="19"/>
      <c r="G71" s="19" t="s">
        <v>416</v>
      </c>
      <c r="H71" s="16"/>
    </row>
    <row r="72" spans="1:8" x14ac:dyDescent="0.25">
      <c r="A72" s="32">
        <v>68</v>
      </c>
      <c r="B72" s="182"/>
      <c r="C72" s="182"/>
      <c r="D72" s="20" t="s">
        <v>419</v>
      </c>
      <c r="E72" s="16">
        <f>2025-1972</f>
        <v>53</v>
      </c>
      <c r="F72" s="19"/>
      <c r="G72" s="19" t="s">
        <v>416</v>
      </c>
      <c r="H72" s="16"/>
    </row>
    <row r="73" spans="1:8" x14ac:dyDescent="0.25">
      <c r="A73" s="32">
        <v>69</v>
      </c>
      <c r="B73" s="182"/>
      <c r="C73" s="182"/>
      <c r="D73" s="20" t="s">
        <v>420</v>
      </c>
      <c r="E73" s="16">
        <f>2025-1970</f>
        <v>55</v>
      </c>
      <c r="F73" s="19"/>
      <c r="G73" s="19" t="s">
        <v>416</v>
      </c>
      <c r="H73" s="16"/>
    </row>
    <row r="74" spans="1:8" x14ac:dyDescent="0.25">
      <c r="A74" s="32">
        <v>70</v>
      </c>
      <c r="B74" s="182"/>
      <c r="C74" s="182"/>
      <c r="D74" s="20" t="s">
        <v>421</v>
      </c>
      <c r="E74" s="16">
        <f>2025-1974</f>
        <v>51</v>
      </c>
      <c r="F74" s="19"/>
      <c r="G74" s="19" t="s">
        <v>416</v>
      </c>
      <c r="H74" s="16"/>
    </row>
    <row r="75" spans="1:8" x14ac:dyDescent="0.25">
      <c r="A75" s="32">
        <v>71</v>
      </c>
      <c r="B75" s="182"/>
      <c r="C75" s="182"/>
      <c r="D75" s="20" t="s">
        <v>422</v>
      </c>
      <c r="E75" s="16">
        <f>2025-1979</f>
        <v>46</v>
      </c>
      <c r="F75" s="19"/>
      <c r="G75" s="19" t="s">
        <v>416</v>
      </c>
      <c r="H75" s="16"/>
    </row>
    <row r="76" spans="1:8" x14ac:dyDescent="0.25">
      <c r="A76" s="32">
        <v>72</v>
      </c>
      <c r="B76" s="182"/>
      <c r="C76" s="182"/>
      <c r="D76" s="20" t="s">
        <v>423</v>
      </c>
      <c r="E76" s="16">
        <f>2025-1973</f>
        <v>52</v>
      </c>
      <c r="F76" s="19"/>
      <c r="G76" s="19" t="s">
        <v>382</v>
      </c>
      <c r="H76" s="16"/>
    </row>
    <row r="77" spans="1:8" x14ac:dyDescent="0.25">
      <c r="A77" s="32">
        <v>73</v>
      </c>
      <c r="B77" s="182"/>
      <c r="C77" s="182"/>
      <c r="D77" s="20" t="s">
        <v>424</v>
      </c>
      <c r="E77" s="16">
        <f>2025-1977</f>
        <v>48</v>
      </c>
      <c r="F77" s="19"/>
      <c r="G77" s="19" t="s">
        <v>416</v>
      </c>
      <c r="H77" s="16"/>
    </row>
    <row r="78" spans="1:8" x14ac:dyDescent="0.25">
      <c r="A78" s="32">
        <v>74</v>
      </c>
      <c r="B78" s="182"/>
      <c r="C78" s="182"/>
      <c r="D78" s="20" t="s">
        <v>425</v>
      </c>
      <c r="E78" s="16">
        <f>2025-1987</f>
        <v>38</v>
      </c>
      <c r="F78" s="19"/>
      <c r="G78" s="19" t="s">
        <v>416</v>
      </c>
      <c r="H78" s="16"/>
    </row>
    <row r="79" spans="1:8" x14ac:dyDescent="0.25">
      <c r="A79" s="32">
        <v>75</v>
      </c>
      <c r="B79" s="182"/>
      <c r="C79" s="182"/>
      <c r="D79" s="20" t="s">
        <v>426</v>
      </c>
      <c r="E79" s="16">
        <f>2025-1970</f>
        <v>55</v>
      </c>
      <c r="F79" s="19"/>
      <c r="G79" s="19" t="s">
        <v>416</v>
      </c>
      <c r="H79" s="16"/>
    </row>
    <row r="80" spans="1:8" x14ac:dyDescent="0.25">
      <c r="A80" s="32">
        <v>76</v>
      </c>
      <c r="B80" s="182"/>
      <c r="C80" s="182"/>
      <c r="D80" s="20" t="s">
        <v>427</v>
      </c>
      <c r="E80" s="16">
        <f>2025-1967</f>
        <v>58</v>
      </c>
      <c r="F80" s="19"/>
      <c r="G80" s="19" t="s">
        <v>382</v>
      </c>
      <c r="H80" s="16"/>
    </row>
    <row r="81" spans="1:8" x14ac:dyDescent="0.25">
      <c r="A81" s="32">
        <v>77</v>
      </c>
      <c r="B81" s="182"/>
      <c r="C81" s="182"/>
      <c r="D81" s="20" t="s">
        <v>428</v>
      </c>
      <c r="E81" s="16">
        <f>2025-1984</f>
        <v>41</v>
      </c>
      <c r="F81" s="19"/>
      <c r="G81" s="19" t="s">
        <v>416</v>
      </c>
      <c r="H81" s="16"/>
    </row>
    <row r="82" spans="1:8" x14ac:dyDescent="0.25">
      <c r="A82" s="32">
        <v>78</v>
      </c>
      <c r="B82" s="182"/>
      <c r="C82" s="182"/>
      <c r="D82" s="20" t="s">
        <v>429</v>
      </c>
      <c r="E82" s="16">
        <f>2025-1980</f>
        <v>45</v>
      </c>
      <c r="F82" s="19"/>
      <c r="G82" s="19" t="s">
        <v>416</v>
      </c>
      <c r="H82" s="16"/>
    </row>
    <row r="83" spans="1:8" x14ac:dyDescent="0.25">
      <c r="A83" s="32">
        <v>79</v>
      </c>
      <c r="B83" s="182"/>
      <c r="C83" s="182"/>
      <c r="D83" s="34" t="s">
        <v>430</v>
      </c>
      <c r="E83" s="41">
        <f>2025-1989</f>
        <v>36</v>
      </c>
      <c r="F83" s="26"/>
      <c r="G83" s="26" t="s">
        <v>382</v>
      </c>
      <c r="H83" s="16"/>
    </row>
    <row r="84" spans="1:8" x14ac:dyDescent="0.25">
      <c r="A84" s="32">
        <v>80</v>
      </c>
      <c r="B84" s="182"/>
      <c r="C84" s="182"/>
      <c r="D84" s="34" t="s">
        <v>431</v>
      </c>
      <c r="E84" s="41">
        <f>2025-1984</f>
        <v>41</v>
      </c>
      <c r="F84" s="26"/>
      <c r="G84" s="26" t="s">
        <v>382</v>
      </c>
      <c r="H84" s="16"/>
    </row>
    <row r="85" spans="1:8" x14ac:dyDescent="0.25">
      <c r="A85" s="32">
        <v>81</v>
      </c>
      <c r="B85" s="182"/>
      <c r="C85" s="182"/>
      <c r="D85" s="34" t="s">
        <v>432</v>
      </c>
      <c r="E85" s="41">
        <f>2025-1963</f>
        <v>62</v>
      </c>
      <c r="F85" s="26"/>
      <c r="G85" s="26" t="s">
        <v>416</v>
      </c>
      <c r="H85" s="16"/>
    </row>
    <row r="86" spans="1:8" x14ac:dyDescent="0.25">
      <c r="A86" s="32">
        <v>82</v>
      </c>
      <c r="B86" s="182"/>
      <c r="C86" s="182"/>
      <c r="D86" s="34" t="s">
        <v>433</v>
      </c>
      <c r="E86" s="41">
        <f>2025-1960</f>
        <v>65</v>
      </c>
      <c r="F86" s="26"/>
      <c r="G86" s="26" t="s">
        <v>382</v>
      </c>
      <c r="H86" s="16"/>
    </row>
    <row r="87" spans="1:8" x14ac:dyDescent="0.25">
      <c r="A87" s="32">
        <v>83</v>
      </c>
      <c r="B87" s="182"/>
      <c r="C87" s="182"/>
      <c r="D87" s="34" t="s">
        <v>434</v>
      </c>
      <c r="E87" s="41">
        <f>2025-1952</f>
        <v>73</v>
      </c>
      <c r="F87" s="26"/>
      <c r="G87" s="26" t="s">
        <v>382</v>
      </c>
      <c r="H87" s="16"/>
    </row>
    <row r="88" spans="1:8" x14ac:dyDescent="0.25">
      <c r="A88" s="32">
        <v>84</v>
      </c>
      <c r="B88" s="182"/>
      <c r="C88" s="182"/>
      <c r="D88" s="34" t="s">
        <v>435</v>
      </c>
      <c r="E88" s="41">
        <f>2025-1952</f>
        <v>73</v>
      </c>
      <c r="F88" s="26"/>
      <c r="G88" s="26" t="s">
        <v>382</v>
      </c>
      <c r="H88" s="16"/>
    </row>
    <row r="89" spans="1:8" x14ac:dyDescent="0.25">
      <c r="A89" s="32">
        <v>85</v>
      </c>
      <c r="B89" s="182"/>
      <c r="C89" s="182"/>
      <c r="D89" s="34" t="s">
        <v>436</v>
      </c>
      <c r="E89" s="41">
        <f>2025-1978</f>
        <v>47</v>
      </c>
      <c r="F89" s="26"/>
      <c r="G89" s="26" t="s">
        <v>382</v>
      </c>
      <c r="H89" s="16"/>
    </row>
    <row r="90" spans="1:8" x14ac:dyDescent="0.25">
      <c r="A90" s="32">
        <v>86</v>
      </c>
      <c r="B90" s="182"/>
      <c r="C90" s="182"/>
      <c r="D90" s="34" t="s">
        <v>437</v>
      </c>
      <c r="E90" s="41">
        <f>2025-1976</f>
        <v>49</v>
      </c>
      <c r="F90" s="26"/>
      <c r="G90" s="26" t="s">
        <v>382</v>
      </c>
      <c r="H90" s="16"/>
    </row>
    <row r="91" spans="1:8" x14ac:dyDescent="0.25">
      <c r="A91" s="32">
        <v>87</v>
      </c>
      <c r="B91" s="182"/>
      <c r="C91" s="182"/>
      <c r="D91" s="34" t="s">
        <v>438</v>
      </c>
      <c r="E91" s="41">
        <f>2025-1967</f>
        <v>58</v>
      </c>
      <c r="F91" s="26"/>
      <c r="G91" s="26" t="s">
        <v>416</v>
      </c>
      <c r="H91" s="16"/>
    </row>
    <row r="92" spans="1:8" x14ac:dyDescent="0.25">
      <c r="A92" s="32">
        <v>88</v>
      </c>
      <c r="B92" s="182"/>
      <c r="C92" s="182"/>
      <c r="D92" s="34" t="s">
        <v>439</v>
      </c>
      <c r="E92" s="41">
        <f>2025-1981</f>
        <v>44</v>
      </c>
      <c r="F92" s="26"/>
      <c r="G92" s="26" t="s">
        <v>416</v>
      </c>
      <c r="H92" s="16"/>
    </row>
    <row r="93" spans="1:8" x14ac:dyDescent="0.25">
      <c r="A93" s="32">
        <v>89</v>
      </c>
      <c r="B93" s="182"/>
      <c r="C93" s="182"/>
      <c r="D93" s="34" t="s">
        <v>440</v>
      </c>
      <c r="E93" s="41">
        <f>2025-1962</f>
        <v>63</v>
      </c>
      <c r="F93" s="26"/>
      <c r="G93" s="26" t="s">
        <v>382</v>
      </c>
      <c r="H93" s="16"/>
    </row>
    <row r="94" spans="1:8" x14ac:dyDescent="0.25">
      <c r="A94" s="32">
        <v>90</v>
      </c>
      <c r="B94" s="182"/>
      <c r="C94" s="182"/>
      <c r="D94" s="34" t="s">
        <v>441</v>
      </c>
      <c r="E94" s="41">
        <f>2025-1976</f>
        <v>49</v>
      </c>
      <c r="F94" s="26"/>
      <c r="G94" s="26" t="s">
        <v>416</v>
      </c>
      <c r="H94" s="16"/>
    </row>
    <row r="95" spans="1:8" x14ac:dyDescent="0.25">
      <c r="A95" s="32">
        <v>91</v>
      </c>
      <c r="B95" s="182"/>
      <c r="C95" s="182"/>
      <c r="D95" s="34" t="s">
        <v>442</v>
      </c>
      <c r="E95" s="41">
        <f>2025-1974</f>
        <v>51</v>
      </c>
      <c r="F95" s="26"/>
      <c r="G95" s="26" t="s">
        <v>382</v>
      </c>
      <c r="H95" s="16"/>
    </row>
    <row r="96" spans="1:8" x14ac:dyDescent="0.25">
      <c r="A96" s="32">
        <v>92</v>
      </c>
      <c r="B96" s="182"/>
      <c r="C96" s="182"/>
      <c r="D96" s="34" t="s">
        <v>443</v>
      </c>
      <c r="E96" s="41">
        <f>2025-1968</f>
        <v>57</v>
      </c>
      <c r="F96" s="26"/>
      <c r="G96" s="26" t="s">
        <v>382</v>
      </c>
      <c r="H96" s="16"/>
    </row>
    <row r="97" spans="1:8" x14ac:dyDescent="0.25">
      <c r="A97" s="32">
        <v>93</v>
      </c>
      <c r="B97" s="182"/>
      <c r="C97" s="182"/>
      <c r="D97" s="34" t="s">
        <v>444</v>
      </c>
      <c r="E97" s="41">
        <f>2025-1976</f>
        <v>49</v>
      </c>
      <c r="F97" s="26"/>
      <c r="G97" s="26" t="s">
        <v>382</v>
      </c>
      <c r="H97" s="16"/>
    </row>
    <row r="98" spans="1:8" x14ac:dyDescent="0.25">
      <c r="A98" s="32">
        <v>94</v>
      </c>
      <c r="B98" s="182"/>
      <c r="C98" s="182"/>
      <c r="D98" s="34" t="s">
        <v>445</v>
      </c>
      <c r="E98" s="41">
        <f>2025-1959</f>
        <v>66</v>
      </c>
      <c r="F98" s="26"/>
      <c r="G98" s="26" t="s">
        <v>382</v>
      </c>
      <c r="H98" s="16"/>
    </row>
    <row r="99" spans="1:8" x14ac:dyDescent="0.25">
      <c r="A99" s="32">
        <v>95</v>
      </c>
      <c r="B99" s="182"/>
      <c r="C99" s="182"/>
      <c r="D99" s="34" t="s">
        <v>446</v>
      </c>
      <c r="E99" s="41">
        <f>2025-1976</f>
        <v>49</v>
      </c>
      <c r="F99" s="26"/>
      <c r="G99" s="26" t="s">
        <v>382</v>
      </c>
      <c r="H99" s="16"/>
    </row>
    <row r="100" spans="1:8" x14ac:dyDescent="0.25">
      <c r="A100" s="32">
        <v>96</v>
      </c>
      <c r="B100" s="182"/>
      <c r="C100" s="182"/>
      <c r="D100" s="34" t="s">
        <v>447</v>
      </c>
      <c r="E100" s="41">
        <f>2025-1989</f>
        <v>36</v>
      </c>
      <c r="F100" s="26"/>
      <c r="G100" s="26" t="s">
        <v>382</v>
      </c>
      <c r="H100" s="16"/>
    </row>
    <row r="101" spans="1:8" x14ac:dyDescent="0.25">
      <c r="A101" s="32">
        <v>97</v>
      </c>
      <c r="B101" s="182"/>
      <c r="C101" s="182"/>
      <c r="D101" s="34" t="s">
        <v>448</v>
      </c>
      <c r="E101" s="41">
        <f>2025-1974</f>
        <v>51</v>
      </c>
      <c r="F101" s="26"/>
      <c r="G101" s="26" t="s">
        <v>382</v>
      </c>
      <c r="H101" s="16"/>
    </row>
    <row r="102" spans="1:8" x14ac:dyDescent="0.25">
      <c r="A102" s="32">
        <v>98</v>
      </c>
      <c r="B102" s="182"/>
      <c r="C102" s="182"/>
      <c r="D102" s="34" t="s">
        <v>449</v>
      </c>
      <c r="E102" s="41">
        <f>2025-1969</f>
        <v>56</v>
      </c>
      <c r="F102" s="26"/>
      <c r="G102" s="26" t="s">
        <v>382</v>
      </c>
      <c r="H102" s="16"/>
    </row>
    <row r="103" spans="1:8" x14ac:dyDescent="0.25">
      <c r="A103" s="32">
        <v>99</v>
      </c>
      <c r="B103" s="182"/>
      <c r="C103" s="182"/>
      <c r="D103" s="34" t="s">
        <v>450</v>
      </c>
      <c r="E103" s="41">
        <f>2025-1967</f>
        <v>58</v>
      </c>
      <c r="F103" s="26"/>
      <c r="G103" s="26" t="s">
        <v>382</v>
      </c>
      <c r="H103" s="16"/>
    </row>
    <row r="104" spans="1:8" x14ac:dyDescent="0.25">
      <c r="A104" s="32">
        <v>100</v>
      </c>
      <c r="B104" s="182"/>
      <c r="C104" s="182"/>
      <c r="D104" s="34" t="s">
        <v>451</v>
      </c>
      <c r="E104" s="41">
        <f>2025-1963</f>
        <v>62</v>
      </c>
      <c r="F104" s="26"/>
      <c r="G104" s="26" t="s">
        <v>382</v>
      </c>
      <c r="H104" s="16"/>
    </row>
    <row r="105" spans="1:8" x14ac:dyDescent="0.25">
      <c r="A105" s="32">
        <v>101</v>
      </c>
      <c r="B105" s="182"/>
      <c r="C105" s="182"/>
      <c r="D105" s="34" t="s">
        <v>452</v>
      </c>
      <c r="E105" s="41">
        <f>2025-1987</f>
        <v>38</v>
      </c>
      <c r="F105" s="26"/>
      <c r="G105" s="26" t="s">
        <v>382</v>
      </c>
      <c r="H105" s="16"/>
    </row>
    <row r="106" spans="1:8" x14ac:dyDescent="0.25">
      <c r="A106" s="32">
        <v>102</v>
      </c>
      <c r="B106" s="182"/>
      <c r="C106" s="182"/>
      <c r="D106" s="34" t="s">
        <v>453</v>
      </c>
      <c r="E106" s="41">
        <f>2025-1971</f>
        <v>54</v>
      </c>
      <c r="F106" s="26"/>
      <c r="G106" s="26" t="s">
        <v>382</v>
      </c>
      <c r="H106" s="16"/>
    </row>
    <row r="107" spans="1:8" x14ac:dyDescent="0.25">
      <c r="A107" s="32">
        <v>103</v>
      </c>
      <c r="B107" s="182"/>
      <c r="C107" s="182"/>
      <c r="D107" s="34" t="s">
        <v>454</v>
      </c>
      <c r="E107" s="41">
        <f>2025-1982</f>
        <v>43</v>
      </c>
      <c r="F107" s="26"/>
      <c r="G107" s="26" t="s">
        <v>382</v>
      </c>
      <c r="H107" s="16"/>
    </row>
    <row r="108" spans="1:8" x14ac:dyDescent="0.25">
      <c r="A108" s="32">
        <v>104</v>
      </c>
      <c r="B108" s="182"/>
      <c r="C108" s="182"/>
      <c r="D108" s="34" t="s">
        <v>455</v>
      </c>
      <c r="E108" s="41">
        <f>2025-1965</f>
        <v>60</v>
      </c>
      <c r="F108" s="26"/>
      <c r="G108" s="26" t="s">
        <v>382</v>
      </c>
      <c r="H108" s="16"/>
    </row>
    <row r="109" spans="1:8" x14ac:dyDescent="0.25">
      <c r="A109" s="32">
        <v>105</v>
      </c>
      <c r="B109" s="182"/>
      <c r="C109" s="182"/>
      <c r="D109" s="34" t="s">
        <v>456</v>
      </c>
      <c r="E109" s="41">
        <f>2025-1955</f>
        <v>70</v>
      </c>
      <c r="F109" s="26"/>
      <c r="G109" s="26" t="s">
        <v>382</v>
      </c>
      <c r="H109" s="16"/>
    </row>
    <row r="110" spans="1:8" x14ac:dyDescent="0.25">
      <c r="A110" s="32">
        <v>106</v>
      </c>
      <c r="B110" s="182"/>
      <c r="C110" s="182"/>
      <c r="D110" s="34" t="s">
        <v>457</v>
      </c>
      <c r="E110" s="41">
        <f>2025-1974</f>
        <v>51</v>
      </c>
      <c r="F110" s="26"/>
      <c r="G110" s="26" t="s">
        <v>382</v>
      </c>
      <c r="H110" s="16"/>
    </row>
    <row r="111" spans="1:8" x14ac:dyDescent="0.25">
      <c r="A111" s="32">
        <v>107</v>
      </c>
      <c r="B111" s="182"/>
      <c r="C111" s="182"/>
      <c r="D111" s="34" t="s">
        <v>458</v>
      </c>
      <c r="E111" s="41">
        <f>2025-1970</f>
        <v>55</v>
      </c>
      <c r="F111" s="26"/>
      <c r="G111" s="26" t="s">
        <v>416</v>
      </c>
      <c r="H111" s="16"/>
    </row>
    <row r="112" spans="1:8" x14ac:dyDescent="0.25">
      <c r="A112" s="32">
        <v>108</v>
      </c>
      <c r="B112" s="182"/>
      <c r="C112" s="182"/>
      <c r="D112" s="34" t="s">
        <v>459</v>
      </c>
      <c r="E112" s="41">
        <f>2025-1973</f>
        <v>52</v>
      </c>
      <c r="F112" s="26"/>
      <c r="G112" s="26" t="s">
        <v>382</v>
      </c>
      <c r="H112" s="16"/>
    </row>
    <row r="113" spans="1:8" x14ac:dyDescent="0.25">
      <c r="A113" s="32">
        <v>109</v>
      </c>
      <c r="B113" s="182"/>
      <c r="C113" s="182"/>
      <c r="D113" s="34" t="s">
        <v>460</v>
      </c>
      <c r="E113" s="41">
        <f>2025-1969</f>
        <v>56</v>
      </c>
      <c r="F113" s="26"/>
      <c r="G113" s="26" t="s">
        <v>382</v>
      </c>
      <c r="H113" s="16"/>
    </row>
    <row r="114" spans="1:8" x14ac:dyDescent="0.25">
      <c r="A114" s="32">
        <v>110</v>
      </c>
      <c r="B114" s="182"/>
      <c r="C114" s="182"/>
      <c r="D114" s="34" t="s">
        <v>461</v>
      </c>
      <c r="E114" s="41">
        <f>2025-1959</f>
        <v>66</v>
      </c>
      <c r="F114" s="26"/>
      <c r="G114" s="26" t="s">
        <v>416</v>
      </c>
      <c r="H114" s="16"/>
    </row>
    <row r="115" spans="1:8" x14ac:dyDescent="0.25">
      <c r="A115" s="32">
        <v>111</v>
      </c>
      <c r="B115" s="182"/>
      <c r="C115" s="182"/>
      <c r="D115" s="34" t="s">
        <v>462</v>
      </c>
      <c r="E115" s="41">
        <f>2025-1962</f>
        <v>63</v>
      </c>
      <c r="F115" s="26"/>
      <c r="G115" s="26" t="s">
        <v>382</v>
      </c>
      <c r="H115" s="16"/>
    </row>
    <row r="116" spans="1:8" x14ac:dyDescent="0.25">
      <c r="A116" s="32">
        <v>112</v>
      </c>
      <c r="B116" s="182"/>
      <c r="C116" s="182"/>
      <c r="D116" s="34" t="s">
        <v>463</v>
      </c>
      <c r="E116" s="41">
        <f>2025-1974</f>
        <v>51</v>
      </c>
      <c r="F116" s="26"/>
      <c r="G116" s="26" t="s">
        <v>382</v>
      </c>
      <c r="H116" s="16"/>
    </row>
    <row r="117" spans="1:8" x14ac:dyDescent="0.25">
      <c r="A117" s="32">
        <v>113</v>
      </c>
      <c r="B117" s="182"/>
      <c r="C117" s="182"/>
      <c r="D117" s="34" t="s">
        <v>464</v>
      </c>
      <c r="E117" s="41">
        <f>2025-1957</f>
        <v>68</v>
      </c>
      <c r="F117" s="26"/>
      <c r="G117" s="26" t="s">
        <v>382</v>
      </c>
      <c r="H117" s="16"/>
    </row>
    <row r="118" spans="1:8" x14ac:dyDescent="0.25">
      <c r="A118" s="32">
        <v>114</v>
      </c>
      <c r="B118" s="182"/>
      <c r="C118" s="182"/>
      <c r="D118" s="34" t="s">
        <v>465</v>
      </c>
      <c r="E118" s="41">
        <f>2025-1966</f>
        <v>59</v>
      </c>
      <c r="F118" s="26"/>
      <c r="G118" s="26" t="s">
        <v>382</v>
      </c>
      <c r="H118" s="16"/>
    </row>
    <row r="119" spans="1:8" x14ac:dyDescent="0.25">
      <c r="A119" s="32">
        <v>115</v>
      </c>
      <c r="B119" s="182"/>
      <c r="C119" s="182"/>
      <c r="D119" s="34" t="s">
        <v>466</v>
      </c>
      <c r="E119" s="41">
        <f>2025-1951</f>
        <v>74</v>
      </c>
      <c r="F119" s="26"/>
      <c r="G119" s="26" t="s">
        <v>382</v>
      </c>
      <c r="H119" s="16"/>
    </row>
    <row r="120" spans="1:8" x14ac:dyDescent="0.25">
      <c r="A120" s="32">
        <v>116</v>
      </c>
      <c r="B120" s="182"/>
      <c r="C120" s="182"/>
      <c r="D120" s="34" t="s">
        <v>467</v>
      </c>
      <c r="E120" s="41">
        <f>2025-1958</f>
        <v>67</v>
      </c>
      <c r="F120" s="26"/>
      <c r="G120" s="26" t="s">
        <v>382</v>
      </c>
      <c r="H120" s="16"/>
    </row>
    <row r="121" spans="1:8" x14ac:dyDescent="0.25">
      <c r="A121" s="32">
        <v>117</v>
      </c>
      <c r="B121" s="182"/>
      <c r="C121" s="182"/>
      <c r="D121" s="34" t="s">
        <v>468</v>
      </c>
      <c r="E121" s="41">
        <f>2025-1979</f>
        <v>46</v>
      </c>
      <c r="F121" s="26"/>
      <c r="G121" s="26" t="s">
        <v>382</v>
      </c>
      <c r="H121" s="16"/>
    </row>
    <row r="122" spans="1:8" x14ac:dyDescent="0.25">
      <c r="A122" s="32">
        <v>118</v>
      </c>
      <c r="B122" s="182"/>
      <c r="C122" s="182"/>
      <c r="D122" s="34" t="s">
        <v>469</v>
      </c>
      <c r="E122" s="41">
        <f>2025-1964</f>
        <v>61</v>
      </c>
      <c r="F122" s="26"/>
      <c r="G122" s="26" t="s">
        <v>382</v>
      </c>
      <c r="H122" s="16"/>
    </row>
    <row r="123" spans="1:8" x14ac:dyDescent="0.25">
      <c r="A123" s="32">
        <v>119</v>
      </c>
      <c r="B123" s="182"/>
      <c r="C123" s="182"/>
      <c r="D123" s="34" t="s">
        <v>470</v>
      </c>
      <c r="E123" s="41">
        <f>2025-1987</f>
        <v>38</v>
      </c>
      <c r="F123" s="26"/>
      <c r="G123" s="26" t="s">
        <v>382</v>
      </c>
      <c r="H123" s="16"/>
    </row>
    <row r="124" spans="1:8" x14ac:dyDescent="0.25">
      <c r="A124" s="32">
        <v>120</v>
      </c>
      <c r="B124" s="182"/>
      <c r="C124" s="182"/>
      <c r="D124" s="34" t="s">
        <v>471</v>
      </c>
      <c r="E124" s="41">
        <f>2025-1971</f>
        <v>54</v>
      </c>
      <c r="F124" s="26"/>
      <c r="G124" s="26" t="s">
        <v>382</v>
      </c>
      <c r="H124" s="16"/>
    </row>
    <row r="125" spans="1:8" x14ac:dyDescent="0.25">
      <c r="A125" s="32">
        <v>121</v>
      </c>
      <c r="B125" s="182"/>
      <c r="C125" s="182"/>
      <c r="D125" s="34" t="s">
        <v>385</v>
      </c>
      <c r="E125" s="41">
        <f>2025-1969</f>
        <v>56</v>
      </c>
      <c r="F125" s="26"/>
      <c r="G125" s="26" t="s">
        <v>416</v>
      </c>
      <c r="H125" s="16"/>
    </row>
    <row r="126" spans="1:8" x14ac:dyDescent="0.25">
      <c r="A126" s="32">
        <v>122</v>
      </c>
      <c r="B126" s="182"/>
      <c r="C126" s="182"/>
      <c r="D126" s="34" t="s">
        <v>472</v>
      </c>
      <c r="E126" s="41">
        <f>2025-1941</f>
        <v>84</v>
      </c>
      <c r="F126" s="26"/>
      <c r="G126" s="26" t="s">
        <v>382</v>
      </c>
      <c r="H126" s="16"/>
    </row>
    <row r="127" spans="1:8" x14ac:dyDescent="0.25">
      <c r="A127" s="32">
        <v>123</v>
      </c>
      <c r="B127" s="182"/>
      <c r="C127" s="182"/>
      <c r="D127" s="34" t="s">
        <v>473</v>
      </c>
      <c r="E127" s="41">
        <f>2025-1975</f>
        <v>50</v>
      </c>
      <c r="F127" s="26"/>
      <c r="G127" s="26" t="s">
        <v>382</v>
      </c>
      <c r="H127" s="16"/>
    </row>
    <row r="128" spans="1:8" x14ac:dyDescent="0.25">
      <c r="A128" s="32">
        <v>124</v>
      </c>
      <c r="B128" s="182"/>
      <c r="C128" s="182"/>
      <c r="D128" s="34" t="s">
        <v>474</v>
      </c>
      <c r="E128" s="41">
        <f>2025-1970</f>
        <v>55</v>
      </c>
      <c r="F128" s="26"/>
      <c r="G128" s="26" t="s">
        <v>382</v>
      </c>
      <c r="H128" s="16"/>
    </row>
    <row r="129" spans="1:8" x14ac:dyDescent="0.25">
      <c r="A129" s="32">
        <v>125</v>
      </c>
      <c r="B129" s="182"/>
      <c r="C129" s="182"/>
      <c r="D129" s="34" t="s">
        <v>475</v>
      </c>
      <c r="E129" s="41">
        <f>2025-1964</f>
        <v>61</v>
      </c>
      <c r="F129" s="26"/>
      <c r="G129" s="26" t="s">
        <v>382</v>
      </c>
      <c r="H129" s="16"/>
    </row>
    <row r="130" spans="1:8" x14ac:dyDescent="0.25">
      <c r="A130" s="32">
        <v>126</v>
      </c>
      <c r="B130" s="182"/>
      <c r="C130" s="182"/>
      <c r="D130" s="34" t="s">
        <v>476</v>
      </c>
      <c r="E130" s="41">
        <f>2025-1977</f>
        <v>48</v>
      </c>
      <c r="F130" s="26"/>
      <c r="G130" s="26" t="s">
        <v>416</v>
      </c>
      <c r="H130" s="16"/>
    </row>
    <row r="131" spans="1:8" x14ac:dyDescent="0.25">
      <c r="A131" s="32">
        <v>127</v>
      </c>
      <c r="B131" s="182"/>
      <c r="C131" s="182"/>
      <c r="D131" s="34" t="s">
        <v>477</v>
      </c>
      <c r="E131" s="41">
        <f>2025-1953</f>
        <v>72</v>
      </c>
      <c r="F131" s="26"/>
      <c r="G131" s="26" t="s">
        <v>382</v>
      </c>
      <c r="H131" s="16"/>
    </row>
    <row r="132" spans="1:8" x14ac:dyDescent="0.25">
      <c r="A132" s="32">
        <v>128</v>
      </c>
      <c r="B132" s="182"/>
      <c r="C132" s="182"/>
      <c r="D132" s="34" t="s">
        <v>478</v>
      </c>
      <c r="E132" s="41">
        <f>2025-1988</f>
        <v>37</v>
      </c>
      <c r="F132" s="26"/>
      <c r="G132" s="26" t="s">
        <v>382</v>
      </c>
      <c r="H132" s="16"/>
    </row>
    <row r="133" spans="1:8" x14ac:dyDescent="0.25">
      <c r="A133" s="32">
        <v>129</v>
      </c>
      <c r="B133" s="182"/>
      <c r="C133" s="182"/>
      <c r="D133" s="34" t="s">
        <v>479</v>
      </c>
      <c r="E133" s="41">
        <f>2025-1965</f>
        <v>60</v>
      </c>
      <c r="F133" s="26"/>
      <c r="G133" s="26" t="s">
        <v>382</v>
      </c>
      <c r="H133" s="16"/>
    </row>
    <row r="134" spans="1:8" x14ac:dyDescent="0.25">
      <c r="A134" s="32">
        <v>130</v>
      </c>
      <c r="B134" s="183"/>
      <c r="C134" s="183"/>
      <c r="D134" s="20" t="s">
        <v>480</v>
      </c>
      <c r="E134" s="16">
        <f>2025-1967</f>
        <v>58</v>
      </c>
      <c r="F134" s="19"/>
      <c r="G134" s="19" t="s">
        <v>416</v>
      </c>
      <c r="H134" s="16"/>
    </row>
    <row r="135" spans="1:8" x14ac:dyDescent="0.25">
      <c r="A135" s="32">
        <v>131</v>
      </c>
      <c r="B135" s="181" t="s">
        <v>53</v>
      </c>
      <c r="C135" s="181" t="s">
        <v>481</v>
      </c>
      <c r="D135" s="33" t="s">
        <v>482</v>
      </c>
      <c r="E135" s="16">
        <v>72</v>
      </c>
      <c r="F135" s="16">
        <v>0.1</v>
      </c>
      <c r="G135" s="16">
        <v>0.1</v>
      </c>
      <c r="H135" s="16"/>
    </row>
    <row r="136" spans="1:8" x14ac:dyDescent="0.25">
      <c r="A136" s="32">
        <v>132</v>
      </c>
      <c r="B136" s="182"/>
      <c r="C136" s="182"/>
      <c r="D136" s="33" t="s">
        <v>483</v>
      </c>
      <c r="E136" s="16">
        <v>74</v>
      </c>
      <c r="F136" s="16">
        <v>0.25</v>
      </c>
      <c r="G136" s="16">
        <v>0.25</v>
      </c>
      <c r="H136" s="16"/>
    </row>
    <row r="137" spans="1:8" ht="15.75" customHeight="1" x14ac:dyDescent="0.25">
      <c r="A137" s="32">
        <v>133</v>
      </c>
      <c r="B137" s="182"/>
      <c r="C137" s="182"/>
      <c r="D137" s="17" t="s">
        <v>484</v>
      </c>
      <c r="E137" s="19">
        <v>64</v>
      </c>
      <c r="F137" s="19">
        <v>0.35</v>
      </c>
      <c r="G137" s="19">
        <v>0.35</v>
      </c>
      <c r="H137" s="19"/>
    </row>
    <row r="138" spans="1:8" ht="15.75" customHeight="1" x14ac:dyDescent="0.25">
      <c r="A138" s="32">
        <v>134</v>
      </c>
      <c r="B138" s="182"/>
      <c r="C138" s="182"/>
      <c r="D138" s="17" t="s">
        <v>485</v>
      </c>
      <c r="E138" s="19">
        <v>65</v>
      </c>
      <c r="F138" s="19">
        <v>0.25</v>
      </c>
      <c r="G138" s="19">
        <v>0.25</v>
      </c>
      <c r="H138" s="19"/>
    </row>
    <row r="139" spans="1:8" ht="15.75" customHeight="1" x14ac:dyDescent="0.25">
      <c r="A139" s="32">
        <v>135</v>
      </c>
      <c r="B139" s="182"/>
      <c r="C139" s="182"/>
      <c r="D139" s="17" t="s">
        <v>486</v>
      </c>
      <c r="E139" s="19">
        <v>65</v>
      </c>
      <c r="F139" s="19">
        <v>0.25</v>
      </c>
      <c r="G139" s="19">
        <v>0.25</v>
      </c>
      <c r="H139" s="19"/>
    </row>
    <row r="140" spans="1:8" ht="15.75" customHeight="1" x14ac:dyDescent="0.25">
      <c r="A140" s="32">
        <v>136</v>
      </c>
      <c r="B140" s="182"/>
      <c r="C140" s="182"/>
      <c r="D140" s="17" t="s">
        <v>487</v>
      </c>
      <c r="E140" s="19">
        <v>67</v>
      </c>
      <c r="F140" s="19">
        <v>0.25</v>
      </c>
      <c r="G140" s="19">
        <v>0.25</v>
      </c>
      <c r="H140" s="19"/>
    </row>
    <row r="141" spans="1:8" ht="15.75" customHeight="1" x14ac:dyDescent="0.25">
      <c r="A141" s="32">
        <v>137</v>
      </c>
      <c r="B141" s="182"/>
      <c r="C141" s="182"/>
      <c r="D141" s="17" t="s">
        <v>488</v>
      </c>
      <c r="E141" s="19">
        <v>70</v>
      </c>
      <c r="F141" s="19">
        <v>0.2</v>
      </c>
      <c r="G141" s="19">
        <v>0.2</v>
      </c>
      <c r="H141" s="19"/>
    </row>
    <row r="142" spans="1:8" ht="15.75" customHeight="1" x14ac:dyDescent="0.25">
      <c r="A142" s="32">
        <v>138</v>
      </c>
      <c r="B142" s="182"/>
      <c r="C142" s="182"/>
      <c r="D142" s="17" t="s">
        <v>489</v>
      </c>
      <c r="E142" s="19">
        <v>47</v>
      </c>
      <c r="F142" s="19">
        <v>0.25</v>
      </c>
      <c r="G142" s="19">
        <v>0.25</v>
      </c>
      <c r="H142" s="19"/>
    </row>
    <row r="143" spans="1:8" ht="15.75" customHeight="1" x14ac:dyDescent="0.25">
      <c r="A143" s="32">
        <v>139</v>
      </c>
      <c r="B143" s="182"/>
      <c r="C143" s="182"/>
      <c r="D143" s="17" t="s">
        <v>490</v>
      </c>
      <c r="E143" s="19">
        <v>62</v>
      </c>
      <c r="F143" s="19">
        <v>0.3</v>
      </c>
      <c r="G143" s="19">
        <v>0.3</v>
      </c>
      <c r="H143" s="19"/>
    </row>
    <row r="144" spans="1:8" ht="15.75" customHeight="1" x14ac:dyDescent="0.25">
      <c r="A144" s="32">
        <v>140</v>
      </c>
      <c r="B144" s="182"/>
      <c r="C144" s="182"/>
      <c r="D144" s="17" t="s">
        <v>491</v>
      </c>
      <c r="E144" s="19">
        <v>43</v>
      </c>
      <c r="F144" s="19">
        <v>0.4</v>
      </c>
      <c r="G144" s="19">
        <v>0.4</v>
      </c>
      <c r="H144" s="19"/>
    </row>
    <row r="145" spans="1:8" ht="15.75" customHeight="1" x14ac:dyDescent="0.25">
      <c r="A145" s="32">
        <v>141</v>
      </c>
      <c r="B145" s="182"/>
      <c r="C145" s="182"/>
      <c r="D145" s="17" t="s">
        <v>492</v>
      </c>
      <c r="E145" s="19">
        <v>69</v>
      </c>
      <c r="F145" s="19">
        <v>0.25</v>
      </c>
      <c r="G145" s="19">
        <v>0.25</v>
      </c>
      <c r="H145" s="19"/>
    </row>
    <row r="146" spans="1:8" ht="15.75" customHeight="1" x14ac:dyDescent="0.25">
      <c r="A146" s="32">
        <v>142</v>
      </c>
      <c r="B146" s="182"/>
      <c r="C146" s="182"/>
      <c r="D146" s="17" t="s">
        <v>493</v>
      </c>
      <c r="E146" s="19">
        <v>64</v>
      </c>
      <c r="F146" s="19">
        <v>0.25</v>
      </c>
      <c r="G146" s="19">
        <v>0.25</v>
      </c>
      <c r="H146" s="19"/>
    </row>
    <row r="147" spans="1:8" ht="15.75" customHeight="1" x14ac:dyDescent="0.25">
      <c r="A147" s="32">
        <v>143</v>
      </c>
      <c r="B147" s="182"/>
      <c r="C147" s="182"/>
      <c r="D147" s="17" t="s">
        <v>494</v>
      </c>
      <c r="E147" s="19">
        <v>67</v>
      </c>
      <c r="F147" s="19">
        <v>0.25</v>
      </c>
      <c r="G147" s="19">
        <v>0.25</v>
      </c>
      <c r="H147" s="19"/>
    </row>
    <row r="148" spans="1:8" ht="15.75" customHeight="1" x14ac:dyDescent="0.25">
      <c r="A148" s="32">
        <v>144</v>
      </c>
      <c r="B148" s="182"/>
      <c r="C148" s="182"/>
      <c r="D148" s="17" t="s">
        <v>462</v>
      </c>
      <c r="E148" s="19">
        <v>62</v>
      </c>
      <c r="F148" s="19">
        <v>0.2</v>
      </c>
      <c r="G148" s="19">
        <v>0.2</v>
      </c>
      <c r="H148" s="19"/>
    </row>
    <row r="149" spans="1:8" ht="15.75" customHeight="1" x14ac:dyDescent="0.25">
      <c r="A149" s="32">
        <v>145</v>
      </c>
      <c r="B149" s="182"/>
      <c r="C149" s="182"/>
      <c r="D149" s="17" t="s">
        <v>495</v>
      </c>
      <c r="E149" s="19">
        <v>53</v>
      </c>
      <c r="F149" s="19">
        <v>0.25</v>
      </c>
      <c r="G149" s="19">
        <v>0.25</v>
      </c>
      <c r="H149" s="19"/>
    </row>
    <row r="150" spans="1:8" ht="15.75" customHeight="1" x14ac:dyDescent="0.25">
      <c r="A150" s="32">
        <v>146</v>
      </c>
      <c r="B150" s="182"/>
      <c r="C150" s="182"/>
      <c r="D150" s="17" t="s">
        <v>496</v>
      </c>
      <c r="E150" s="19">
        <v>59</v>
      </c>
      <c r="F150" s="19">
        <v>0.25</v>
      </c>
      <c r="G150" s="19">
        <v>0.25</v>
      </c>
      <c r="H150" s="19"/>
    </row>
    <row r="151" spans="1:8" ht="15.75" customHeight="1" x14ac:dyDescent="0.25">
      <c r="A151" s="32">
        <v>147</v>
      </c>
      <c r="B151" s="182"/>
      <c r="C151" s="182"/>
      <c r="D151" s="17" t="s">
        <v>497</v>
      </c>
      <c r="E151" s="19">
        <v>55</v>
      </c>
      <c r="F151" s="19">
        <v>0.25</v>
      </c>
      <c r="G151" s="19">
        <v>0.25</v>
      </c>
      <c r="H151" s="19"/>
    </row>
    <row r="152" spans="1:8" ht="15.75" customHeight="1" x14ac:dyDescent="0.25">
      <c r="A152" s="32">
        <v>148</v>
      </c>
      <c r="B152" s="182"/>
      <c r="C152" s="182"/>
      <c r="D152" s="17" t="s">
        <v>498</v>
      </c>
      <c r="E152" s="19">
        <v>55</v>
      </c>
      <c r="F152" s="19">
        <v>0.3</v>
      </c>
      <c r="G152" s="19">
        <v>0.3</v>
      </c>
      <c r="H152" s="19"/>
    </row>
    <row r="153" spans="1:8" ht="15.75" customHeight="1" x14ac:dyDescent="0.25">
      <c r="A153" s="32">
        <v>149</v>
      </c>
      <c r="B153" s="182"/>
      <c r="C153" s="182"/>
      <c r="D153" s="17" t="s">
        <v>499</v>
      </c>
      <c r="E153" s="19">
        <v>69</v>
      </c>
      <c r="F153" s="19">
        <v>0.25</v>
      </c>
      <c r="G153" s="19">
        <v>0.25</v>
      </c>
      <c r="H153" s="19"/>
    </row>
    <row r="154" spans="1:8" ht="15.75" customHeight="1" x14ac:dyDescent="0.25">
      <c r="A154" s="32">
        <v>150</v>
      </c>
      <c r="B154" s="183"/>
      <c r="C154" s="183"/>
      <c r="D154" s="17" t="s">
        <v>500</v>
      </c>
      <c r="E154" s="19">
        <v>55</v>
      </c>
      <c r="F154" s="19">
        <v>0.15</v>
      </c>
      <c r="G154" s="19">
        <v>0.15</v>
      </c>
      <c r="H154" s="19"/>
    </row>
    <row r="155" spans="1:8" ht="15.75" customHeight="1" x14ac:dyDescent="0.25">
      <c r="A155" s="32">
        <v>151</v>
      </c>
      <c r="B155" s="191" t="s">
        <v>89</v>
      </c>
      <c r="C155" s="191" t="s">
        <v>501</v>
      </c>
      <c r="D155" s="17" t="s">
        <v>502</v>
      </c>
      <c r="E155" s="19">
        <v>60</v>
      </c>
      <c r="F155" s="19">
        <v>0.2</v>
      </c>
      <c r="G155" s="19">
        <v>0.2</v>
      </c>
      <c r="H155" s="19"/>
    </row>
    <row r="156" spans="1:8" ht="15.75" customHeight="1" x14ac:dyDescent="0.25">
      <c r="A156" s="32">
        <v>152</v>
      </c>
      <c r="B156" s="185"/>
      <c r="C156" s="185"/>
      <c r="D156" s="17" t="s">
        <v>503</v>
      </c>
      <c r="E156" s="19">
        <v>62</v>
      </c>
      <c r="F156" s="19">
        <v>0</v>
      </c>
      <c r="G156" s="19">
        <v>0.4</v>
      </c>
      <c r="H156" s="19" t="s">
        <v>504</v>
      </c>
    </row>
    <row r="157" spans="1:8" ht="15.75" customHeight="1" x14ac:dyDescent="0.25">
      <c r="A157" s="32">
        <v>153</v>
      </c>
      <c r="B157" s="185"/>
      <c r="C157" s="185"/>
      <c r="D157" s="17" t="s">
        <v>505</v>
      </c>
      <c r="E157" s="19">
        <v>40</v>
      </c>
      <c r="F157" s="19">
        <v>0.25</v>
      </c>
      <c r="G157" s="19">
        <v>0.6</v>
      </c>
      <c r="H157" s="19" t="s">
        <v>506</v>
      </c>
    </row>
    <row r="158" spans="1:8" ht="15.75" customHeight="1" x14ac:dyDescent="0.25">
      <c r="A158" s="32">
        <v>154</v>
      </c>
      <c r="B158" s="185"/>
      <c r="C158" s="185"/>
      <c r="D158" s="17" t="s">
        <v>507</v>
      </c>
      <c r="E158" s="19">
        <v>65</v>
      </c>
      <c r="F158" s="19">
        <v>0</v>
      </c>
      <c r="G158" s="19">
        <v>0</v>
      </c>
      <c r="H158" s="19"/>
    </row>
    <row r="159" spans="1:8" ht="15.75" customHeight="1" x14ac:dyDescent="0.25">
      <c r="A159" s="32">
        <v>155</v>
      </c>
      <c r="B159" s="185"/>
      <c r="C159" s="185"/>
      <c r="D159" s="17" t="s">
        <v>508</v>
      </c>
      <c r="E159" s="19">
        <v>57</v>
      </c>
      <c r="F159" s="19">
        <v>0.2</v>
      </c>
      <c r="G159" s="19">
        <v>0.4</v>
      </c>
      <c r="H159" s="19"/>
    </row>
    <row r="160" spans="1:8" ht="15.75" customHeight="1" x14ac:dyDescent="0.25">
      <c r="A160" s="32">
        <v>156</v>
      </c>
      <c r="B160" s="185"/>
      <c r="C160" s="185"/>
      <c r="D160" s="17" t="s">
        <v>509</v>
      </c>
      <c r="E160" s="19">
        <v>69</v>
      </c>
      <c r="F160" s="19">
        <v>0</v>
      </c>
      <c r="G160" s="19">
        <v>0.3</v>
      </c>
      <c r="H160" s="19"/>
    </row>
    <row r="161" spans="1:8" ht="15.75" customHeight="1" x14ac:dyDescent="0.25">
      <c r="A161" s="32">
        <v>157</v>
      </c>
      <c r="B161" s="185"/>
      <c r="C161" s="185"/>
      <c r="D161" s="17" t="s">
        <v>510</v>
      </c>
      <c r="E161" s="19">
        <v>43</v>
      </c>
      <c r="F161" s="19">
        <v>0.25</v>
      </c>
      <c r="G161" s="19">
        <v>0.1</v>
      </c>
      <c r="H161" s="19" t="s">
        <v>316</v>
      </c>
    </row>
    <row r="162" spans="1:8" ht="15.75" customHeight="1" x14ac:dyDescent="0.25">
      <c r="A162" s="32">
        <v>158</v>
      </c>
      <c r="B162" s="185"/>
      <c r="C162" s="185"/>
      <c r="D162" s="17" t="s">
        <v>511</v>
      </c>
      <c r="E162" s="19">
        <v>65</v>
      </c>
      <c r="F162" s="19">
        <v>0</v>
      </c>
      <c r="G162" s="19">
        <v>0</v>
      </c>
      <c r="H162" s="19"/>
    </row>
    <row r="163" spans="1:8" ht="15.75" customHeight="1" x14ac:dyDescent="0.25">
      <c r="A163" s="32">
        <v>159</v>
      </c>
      <c r="B163" s="185"/>
      <c r="C163" s="185"/>
      <c r="D163" s="17" t="s">
        <v>512</v>
      </c>
      <c r="E163" s="19">
        <v>56</v>
      </c>
      <c r="F163" s="19">
        <v>0</v>
      </c>
      <c r="G163" s="19">
        <v>0</v>
      </c>
      <c r="H163" s="19"/>
    </row>
    <row r="164" spans="1:8" ht="15.75" customHeight="1" x14ac:dyDescent="0.25">
      <c r="A164" s="32">
        <v>160</v>
      </c>
      <c r="B164" s="185"/>
      <c r="C164" s="185"/>
      <c r="D164" s="17" t="s">
        <v>358</v>
      </c>
      <c r="E164" s="19">
        <v>59</v>
      </c>
      <c r="F164" s="19">
        <v>1</v>
      </c>
      <c r="G164" s="19">
        <v>0.8</v>
      </c>
      <c r="H164" s="19"/>
    </row>
    <row r="165" spans="1:8" ht="15.75" customHeight="1" x14ac:dyDescent="0.25">
      <c r="A165" s="32">
        <v>161</v>
      </c>
      <c r="B165" s="185"/>
      <c r="C165" s="185"/>
      <c r="D165" s="17" t="s">
        <v>513</v>
      </c>
      <c r="E165" s="19">
        <v>50</v>
      </c>
      <c r="F165" s="19">
        <v>0</v>
      </c>
      <c r="G165" s="19">
        <v>0</v>
      </c>
      <c r="H165" s="19"/>
    </row>
    <row r="166" spans="1:8" ht="15.75" customHeight="1" x14ac:dyDescent="0.25">
      <c r="A166" s="32">
        <v>162</v>
      </c>
      <c r="B166" s="185"/>
      <c r="C166" s="185"/>
      <c r="D166" s="17" t="s">
        <v>514</v>
      </c>
      <c r="E166" s="19">
        <v>54</v>
      </c>
      <c r="F166" s="19">
        <v>0</v>
      </c>
      <c r="G166" s="19">
        <v>0</v>
      </c>
      <c r="H166" s="19"/>
    </row>
    <row r="167" spans="1:8" ht="15.75" customHeight="1" x14ac:dyDescent="0.25">
      <c r="A167" s="32">
        <v>163</v>
      </c>
      <c r="B167" s="185"/>
      <c r="C167" s="185"/>
      <c r="D167" s="17" t="s">
        <v>515</v>
      </c>
      <c r="E167" s="19">
        <v>46</v>
      </c>
      <c r="F167" s="19">
        <v>0.5</v>
      </c>
      <c r="G167" s="19">
        <v>0.5</v>
      </c>
      <c r="H167" s="19"/>
    </row>
    <row r="168" spans="1:8" ht="15.75" customHeight="1" x14ac:dyDescent="0.25">
      <c r="A168" s="32">
        <v>164</v>
      </c>
      <c r="B168" s="185"/>
      <c r="C168" s="185"/>
      <c r="D168" s="17" t="s">
        <v>516</v>
      </c>
      <c r="E168" s="19">
        <v>65</v>
      </c>
      <c r="F168" s="19">
        <v>0</v>
      </c>
      <c r="G168" s="19">
        <v>0.3</v>
      </c>
      <c r="H168" s="19" t="s">
        <v>517</v>
      </c>
    </row>
    <row r="169" spans="1:8" ht="15.75" customHeight="1" x14ac:dyDescent="0.25">
      <c r="A169" s="32">
        <v>165</v>
      </c>
      <c r="B169" s="185"/>
      <c r="C169" s="185"/>
      <c r="D169" s="17" t="s">
        <v>518</v>
      </c>
      <c r="E169" s="19">
        <v>54</v>
      </c>
      <c r="F169" s="19">
        <v>0.5</v>
      </c>
      <c r="G169" s="19">
        <v>0.5</v>
      </c>
      <c r="H169" s="19"/>
    </row>
    <row r="170" spans="1:8" ht="15.75" customHeight="1" x14ac:dyDescent="0.25">
      <c r="A170" s="32">
        <v>166</v>
      </c>
      <c r="B170" s="185"/>
      <c r="C170" s="185"/>
      <c r="D170" s="17" t="s">
        <v>519</v>
      </c>
      <c r="E170" s="19">
        <v>55</v>
      </c>
      <c r="F170" s="19">
        <v>1</v>
      </c>
      <c r="G170" s="19">
        <v>0.25</v>
      </c>
      <c r="H170" s="19" t="s">
        <v>520</v>
      </c>
    </row>
    <row r="171" spans="1:8" ht="15.75" customHeight="1" x14ac:dyDescent="0.25">
      <c r="A171" s="32">
        <v>167</v>
      </c>
      <c r="B171" s="185"/>
      <c r="C171" s="185"/>
      <c r="D171" s="17" t="s">
        <v>521</v>
      </c>
      <c r="E171" s="19">
        <v>62</v>
      </c>
      <c r="F171" s="19">
        <v>0.7</v>
      </c>
      <c r="G171" s="19">
        <v>0.7</v>
      </c>
      <c r="H171" s="19"/>
    </row>
    <row r="172" spans="1:8" ht="15.75" customHeight="1" x14ac:dyDescent="0.25">
      <c r="A172" s="32">
        <v>168</v>
      </c>
      <c r="B172" s="185"/>
      <c r="C172" s="185"/>
      <c r="D172" s="17" t="s">
        <v>522</v>
      </c>
      <c r="E172" s="19">
        <v>55</v>
      </c>
      <c r="F172" s="19">
        <v>0.6</v>
      </c>
      <c r="G172" s="19">
        <v>0.5</v>
      </c>
      <c r="H172" s="19"/>
    </row>
    <row r="173" spans="1:8" ht="15.75" customHeight="1" x14ac:dyDescent="0.25">
      <c r="A173" s="32">
        <v>169</v>
      </c>
      <c r="B173" s="185"/>
      <c r="C173" s="185"/>
      <c r="D173" s="17" t="s">
        <v>523</v>
      </c>
      <c r="E173" s="19">
        <v>60</v>
      </c>
      <c r="F173" s="19">
        <v>0.6</v>
      </c>
      <c r="G173" s="19">
        <v>0.6</v>
      </c>
      <c r="H173" s="19"/>
    </row>
    <row r="174" spans="1:8" ht="15.75" customHeight="1" x14ac:dyDescent="0.25">
      <c r="A174" s="32">
        <v>170</v>
      </c>
      <c r="B174" s="185"/>
      <c r="C174" s="185"/>
      <c r="D174" s="17" t="s">
        <v>524</v>
      </c>
      <c r="E174" s="19">
        <v>58</v>
      </c>
      <c r="F174" s="19">
        <v>0</v>
      </c>
      <c r="G174" s="19">
        <v>0</v>
      </c>
      <c r="H174" s="19"/>
    </row>
    <row r="175" spans="1:8" ht="15.75" customHeight="1" x14ac:dyDescent="0.25">
      <c r="A175" s="32">
        <v>171</v>
      </c>
      <c r="B175" s="185"/>
      <c r="C175" s="185"/>
      <c r="D175" s="17" t="s">
        <v>525</v>
      </c>
      <c r="E175" s="19">
        <v>53</v>
      </c>
      <c r="F175" s="19">
        <v>0.3</v>
      </c>
      <c r="G175" s="19">
        <v>0.3</v>
      </c>
      <c r="H175" s="19"/>
    </row>
    <row r="176" spans="1:8" ht="15.75" customHeight="1" x14ac:dyDescent="0.25">
      <c r="A176" s="32">
        <v>172</v>
      </c>
      <c r="B176" s="185"/>
      <c r="C176" s="185"/>
      <c r="D176" s="17" t="s">
        <v>526</v>
      </c>
      <c r="E176" s="19">
        <v>46</v>
      </c>
      <c r="F176" s="19">
        <v>0.5</v>
      </c>
      <c r="G176" s="19">
        <v>0.5</v>
      </c>
      <c r="H176" s="19"/>
    </row>
    <row r="177" spans="1:8" ht="15.75" customHeight="1" x14ac:dyDescent="0.25">
      <c r="A177" s="32">
        <v>173</v>
      </c>
      <c r="B177" s="185"/>
      <c r="C177" s="185"/>
      <c r="D177" s="17" t="s">
        <v>527</v>
      </c>
      <c r="E177" s="19">
        <v>49</v>
      </c>
      <c r="F177" s="19">
        <v>0.5</v>
      </c>
      <c r="G177" s="19">
        <v>0.5</v>
      </c>
      <c r="H177" s="19"/>
    </row>
    <row r="178" spans="1:8" ht="15.75" customHeight="1" x14ac:dyDescent="0.25">
      <c r="A178" s="32">
        <v>174</v>
      </c>
      <c r="B178" s="185"/>
      <c r="C178" s="185"/>
      <c r="D178" s="17" t="s">
        <v>528</v>
      </c>
      <c r="E178" s="19">
        <v>49</v>
      </c>
      <c r="F178" s="19">
        <v>0.2</v>
      </c>
      <c r="G178" s="19">
        <v>0.4</v>
      </c>
      <c r="H178" s="19"/>
    </row>
    <row r="179" spans="1:8" ht="15.75" customHeight="1" x14ac:dyDescent="0.25">
      <c r="A179" s="32">
        <v>175</v>
      </c>
      <c r="B179" s="185"/>
      <c r="C179" s="185"/>
      <c r="D179" s="17" t="s">
        <v>529</v>
      </c>
      <c r="E179" s="19">
        <v>67</v>
      </c>
      <c r="F179" s="19">
        <v>0.2</v>
      </c>
      <c r="G179" s="19">
        <v>0.15</v>
      </c>
      <c r="H179" s="19" t="s">
        <v>327</v>
      </c>
    </row>
    <row r="180" spans="1:8" ht="15.75" customHeight="1" x14ac:dyDescent="0.25">
      <c r="A180" s="32">
        <v>176</v>
      </c>
      <c r="B180" s="185"/>
      <c r="C180" s="185"/>
      <c r="D180" s="17" t="s">
        <v>530</v>
      </c>
      <c r="E180" s="19">
        <v>56</v>
      </c>
      <c r="F180" s="19">
        <v>0.2</v>
      </c>
      <c r="G180" s="19">
        <v>0.2</v>
      </c>
      <c r="H180" s="19"/>
    </row>
    <row r="181" spans="1:8" ht="15.75" customHeight="1" x14ac:dyDescent="0.25">
      <c r="A181" s="32">
        <v>177</v>
      </c>
      <c r="B181" s="185"/>
      <c r="C181" s="185"/>
      <c r="D181" s="17" t="s">
        <v>531</v>
      </c>
      <c r="E181" s="19">
        <v>60</v>
      </c>
      <c r="F181" s="19">
        <v>0</v>
      </c>
      <c r="G181" s="19">
        <v>0</v>
      </c>
      <c r="H181" s="19"/>
    </row>
    <row r="182" spans="1:8" ht="15.75" customHeight="1" x14ac:dyDescent="0.25">
      <c r="A182" s="32">
        <v>178</v>
      </c>
      <c r="B182" s="185"/>
      <c r="C182" s="185"/>
      <c r="D182" s="17" t="s">
        <v>532</v>
      </c>
      <c r="E182" s="19">
        <v>62</v>
      </c>
      <c r="F182" s="19">
        <v>0.2</v>
      </c>
      <c r="G182" s="19">
        <v>0.5</v>
      </c>
      <c r="H182" s="19" t="s">
        <v>533</v>
      </c>
    </row>
    <row r="183" spans="1:8" ht="15.75" customHeight="1" x14ac:dyDescent="0.25">
      <c r="A183" s="32">
        <v>179</v>
      </c>
      <c r="B183" s="186"/>
      <c r="C183" s="186"/>
      <c r="D183" s="17" t="s">
        <v>534</v>
      </c>
      <c r="E183" s="19">
        <v>60</v>
      </c>
      <c r="F183" s="19">
        <v>0</v>
      </c>
      <c r="G183" s="19">
        <v>0</v>
      </c>
      <c r="H183" s="19"/>
    </row>
    <row r="184" spans="1:8" ht="15.75" customHeight="1" x14ac:dyDescent="0.25">
      <c r="A184" s="32">
        <v>180</v>
      </c>
      <c r="B184" s="191" t="s">
        <v>59</v>
      </c>
      <c r="C184" s="191" t="s">
        <v>535</v>
      </c>
      <c r="D184" s="35" t="s">
        <v>477</v>
      </c>
      <c r="E184" s="16">
        <f>2025-1963</f>
        <v>62</v>
      </c>
      <c r="F184" s="42">
        <v>0</v>
      </c>
      <c r="G184" s="43">
        <v>0.3</v>
      </c>
      <c r="H184" s="19"/>
    </row>
    <row r="185" spans="1:8" ht="15.75" customHeight="1" x14ac:dyDescent="0.25">
      <c r="A185" s="32">
        <v>181</v>
      </c>
      <c r="B185" s="185"/>
      <c r="C185" s="185"/>
      <c r="D185" s="35" t="s">
        <v>536</v>
      </c>
      <c r="E185" s="16">
        <f>2025-1969</f>
        <v>56</v>
      </c>
      <c r="F185" s="43">
        <v>0.2</v>
      </c>
      <c r="G185" s="43">
        <v>0.2</v>
      </c>
      <c r="H185" s="19"/>
    </row>
    <row r="186" spans="1:8" ht="15.75" customHeight="1" x14ac:dyDescent="0.25">
      <c r="A186" s="32">
        <v>182</v>
      </c>
      <c r="B186" s="185"/>
      <c r="C186" s="185"/>
      <c r="D186" s="35" t="s">
        <v>537</v>
      </c>
      <c r="E186" s="16">
        <f>2025-1972</f>
        <v>53</v>
      </c>
      <c r="F186" s="43">
        <v>0.3</v>
      </c>
      <c r="G186" s="43">
        <v>1.1000000000000001</v>
      </c>
      <c r="H186" s="19"/>
    </row>
    <row r="187" spans="1:8" ht="15.75" customHeight="1" x14ac:dyDescent="0.25">
      <c r="A187" s="32">
        <v>183</v>
      </c>
      <c r="B187" s="185"/>
      <c r="C187" s="185"/>
      <c r="D187" s="35" t="s">
        <v>538</v>
      </c>
      <c r="E187" s="16">
        <f>2025-1959</f>
        <v>66</v>
      </c>
      <c r="F187" s="43">
        <v>0.19</v>
      </c>
      <c r="G187" s="43">
        <v>0.19</v>
      </c>
      <c r="H187" s="19"/>
    </row>
    <row r="188" spans="1:8" ht="15.75" customHeight="1" x14ac:dyDescent="0.25">
      <c r="A188" s="32">
        <v>184</v>
      </c>
      <c r="B188" s="185"/>
      <c r="C188" s="185"/>
      <c r="D188" s="35" t="s">
        <v>539</v>
      </c>
      <c r="E188" s="16">
        <f>2025-1963</f>
        <v>62</v>
      </c>
      <c r="F188" s="43">
        <v>0.4</v>
      </c>
      <c r="G188" s="43">
        <v>0.4</v>
      </c>
      <c r="H188" s="19"/>
    </row>
    <row r="189" spans="1:8" ht="15.75" customHeight="1" x14ac:dyDescent="0.25">
      <c r="A189" s="32">
        <v>185</v>
      </c>
      <c r="B189" s="185"/>
      <c r="C189" s="185"/>
      <c r="D189" s="35" t="s">
        <v>530</v>
      </c>
      <c r="E189" s="16">
        <f>2025-1966</f>
        <v>59</v>
      </c>
      <c r="F189" s="43">
        <v>0.2</v>
      </c>
      <c r="G189" s="43">
        <v>0.2</v>
      </c>
      <c r="H189" s="19"/>
    </row>
    <row r="190" spans="1:8" ht="15.75" customHeight="1" x14ac:dyDescent="0.25">
      <c r="A190" s="32">
        <v>186</v>
      </c>
      <c r="B190" s="185"/>
      <c r="C190" s="185"/>
      <c r="D190" s="35" t="s">
        <v>540</v>
      </c>
      <c r="E190" s="16">
        <f>2025-1962</f>
        <v>63</v>
      </c>
      <c r="F190" s="43">
        <v>0.25</v>
      </c>
      <c r="G190" s="43">
        <v>0.25</v>
      </c>
      <c r="H190" s="19"/>
    </row>
    <row r="191" spans="1:8" ht="15.75" customHeight="1" x14ac:dyDescent="0.25">
      <c r="A191" s="32">
        <v>187</v>
      </c>
      <c r="B191" s="185"/>
      <c r="C191" s="185"/>
      <c r="D191" s="35" t="s">
        <v>541</v>
      </c>
      <c r="E191" s="16">
        <f>2025-1974</f>
        <v>51</v>
      </c>
      <c r="F191" s="42">
        <v>0</v>
      </c>
      <c r="G191" s="43">
        <v>1.6</v>
      </c>
      <c r="H191" s="19"/>
    </row>
    <row r="192" spans="1:8" ht="15.75" customHeight="1" x14ac:dyDescent="0.25">
      <c r="A192" s="32">
        <v>188</v>
      </c>
      <c r="B192" s="185"/>
      <c r="C192" s="185"/>
      <c r="D192" s="35" t="s">
        <v>542</v>
      </c>
      <c r="E192" s="16">
        <f>2025-1960</f>
        <v>65</v>
      </c>
      <c r="F192" s="43">
        <v>0.2</v>
      </c>
      <c r="G192" s="43">
        <v>0.2</v>
      </c>
      <c r="H192" s="19"/>
    </row>
    <row r="193" spans="1:8" ht="15.75" customHeight="1" x14ac:dyDescent="0.25">
      <c r="A193" s="32">
        <v>189</v>
      </c>
      <c r="B193" s="185"/>
      <c r="C193" s="185"/>
      <c r="D193" s="35" t="s">
        <v>543</v>
      </c>
      <c r="E193" s="16">
        <f>2025-1962</f>
        <v>63</v>
      </c>
      <c r="F193" s="43">
        <v>0.3</v>
      </c>
      <c r="G193" s="43">
        <v>0.3</v>
      </c>
      <c r="H193" s="19"/>
    </row>
    <row r="194" spans="1:8" ht="15.75" customHeight="1" x14ac:dyDescent="0.25">
      <c r="A194" s="32">
        <v>190</v>
      </c>
      <c r="B194" s="185"/>
      <c r="C194" s="185"/>
      <c r="D194" s="35" t="s">
        <v>544</v>
      </c>
      <c r="E194" s="16">
        <f>2025-1973</f>
        <v>52</v>
      </c>
      <c r="F194" s="43">
        <v>0.2</v>
      </c>
      <c r="G194" s="43">
        <v>0.2</v>
      </c>
      <c r="H194" s="19"/>
    </row>
    <row r="195" spans="1:8" ht="15.75" customHeight="1" x14ac:dyDescent="0.25">
      <c r="A195" s="32">
        <v>191</v>
      </c>
      <c r="B195" s="185"/>
      <c r="C195" s="185"/>
      <c r="D195" s="35" t="s">
        <v>545</v>
      </c>
      <c r="E195" s="16">
        <f>2025-1973</f>
        <v>52</v>
      </c>
      <c r="F195" s="42">
        <v>0</v>
      </c>
      <c r="G195" s="43">
        <v>0.2</v>
      </c>
      <c r="H195" s="19"/>
    </row>
    <row r="196" spans="1:8" ht="15.75" customHeight="1" x14ac:dyDescent="0.25">
      <c r="A196" s="32">
        <v>192</v>
      </c>
      <c r="B196" s="185"/>
      <c r="C196" s="185"/>
      <c r="D196" s="35" t="s">
        <v>546</v>
      </c>
      <c r="E196" s="16">
        <f>2025-1948</f>
        <v>77</v>
      </c>
      <c r="F196" s="43">
        <v>0.3</v>
      </c>
      <c r="G196" s="43">
        <v>0.3</v>
      </c>
      <c r="H196" s="19"/>
    </row>
    <row r="197" spans="1:8" ht="15.75" customHeight="1" x14ac:dyDescent="0.25">
      <c r="A197" s="32">
        <v>193</v>
      </c>
      <c r="B197" s="185"/>
      <c r="C197" s="185"/>
      <c r="D197" s="35" t="s">
        <v>547</v>
      </c>
      <c r="E197" s="16">
        <f>2025-1963</f>
        <v>62</v>
      </c>
      <c r="F197" s="43">
        <v>0.3</v>
      </c>
      <c r="G197" s="43">
        <v>0.3</v>
      </c>
      <c r="H197" s="19"/>
    </row>
    <row r="198" spans="1:8" ht="15.75" customHeight="1" x14ac:dyDescent="0.25">
      <c r="A198" s="32">
        <v>194</v>
      </c>
      <c r="B198" s="185"/>
      <c r="C198" s="185"/>
      <c r="D198" s="35" t="s">
        <v>548</v>
      </c>
      <c r="E198" s="16">
        <f>2025-1973</f>
        <v>52</v>
      </c>
      <c r="F198" s="42">
        <v>0</v>
      </c>
      <c r="G198" s="43">
        <v>0.3</v>
      </c>
      <c r="H198" s="19"/>
    </row>
    <row r="199" spans="1:8" ht="15.75" customHeight="1" x14ac:dyDescent="0.25">
      <c r="A199" s="32">
        <v>195</v>
      </c>
      <c r="B199" s="185"/>
      <c r="C199" s="185"/>
      <c r="D199" s="35" t="s">
        <v>549</v>
      </c>
      <c r="E199" s="16">
        <f>2025-1959</f>
        <v>66</v>
      </c>
      <c r="F199" s="43">
        <v>0.2</v>
      </c>
      <c r="G199" s="43">
        <v>0.2</v>
      </c>
      <c r="H199" s="19"/>
    </row>
    <row r="200" spans="1:8" ht="15.75" customHeight="1" x14ac:dyDescent="0.25">
      <c r="A200" s="32">
        <v>196</v>
      </c>
      <c r="B200" s="185"/>
      <c r="C200" s="185"/>
      <c r="D200" s="35" t="s">
        <v>550</v>
      </c>
      <c r="E200" s="16">
        <f>2025-1955</f>
        <v>70</v>
      </c>
      <c r="F200" s="42">
        <v>0</v>
      </c>
      <c r="G200" s="43">
        <v>0.3</v>
      </c>
      <c r="H200" s="19"/>
    </row>
    <row r="201" spans="1:8" ht="15.75" customHeight="1" x14ac:dyDescent="0.25">
      <c r="A201" s="32">
        <v>197</v>
      </c>
      <c r="B201" s="185"/>
      <c r="C201" s="185"/>
      <c r="D201" s="35" t="s">
        <v>551</v>
      </c>
      <c r="E201" s="16">
        <f>2025-1979</f>
        <v>46</v>
      </c>
      <c r="F201" s="43">
        <v>0.3</v>
      </c>
      <c r="G201" s="43">
        <v>0.3</v>
      </c>
      <c r="H201" s="19"/>
    </row>
    <row r="202" spans="1:8" ht="15.75" customHeight="1" x14ac:dyDescent="0.25">
      <c r="A202" s="32">
        <v>198</v>
      </c>
      <c r="B202" s="185"/>
      <c r="C202" s="185"/>
      <c r="D202" s="35" t="s">
        <v>552</v>
      </c>
      <c r="E202" s="16">
        <f>2025-1960</f>
        <v>65</v>
      </c>
      <c r="F202" s="43">
        <v>0.2</v>
      </c>
      <c r="G202" s="43">
        <v>0.2</v>
      </c>
      <c r="H202" s="19"/>
    </row>
    <row r="203" spans="1:8" ht="15.75" customHeight="1" x14ac:dyDescent="0.25">
      <c r="A203" s="32">
        <v>199</v>
      </c>
      <c r="B203" s="185"/>
      <c r="C203" s="185"/>
      <c r="D203" s="35" t="s">
        <v>553</v>
      </c>
      <c r="E203" s="16">
        <f>2025-1957</f>
        <v>68</v>
      </c>
      <c r="F203" s="43">
        <v>0.2</v>
      </c>
      <c r="G203" s="43">
        <v>0.2</v>
      </c>
      <c r="H203" s="19"/>
    </row>
    <row r="204" spans="1:8" ht="15.75" customHeight="1" x14ac:dyDescent="0.25">
      <c r="A204" s="32">
        <v>200</v>
      </c>
      <c r="B204" s="185"/>
      <c r="C204" s="185"/>
      <c r="D204" s="35" t="s">
        <v>554</v>
      </c>
      <c r="E204" s="16">
        <f>2025-1968</f>
        <v>57</v>
      </c>
      <c r="F204" s="43" t="s">
        <v>555</v>
      </c>
      <c r="G204" s="43" t="s">
        <v>555</v>
      </c>
      <c r="H204" s="19"/>
    </row>
    <row r="205" spans="1:8" ht="15.75" customHeight="1" x14ac:dyDescent="0.25">
      <c r="A205" s="32">
        <v>201</v>
      </c>
      <c r="B205" s="185"/>
      <c r="C205" s="185"/>
      <c r="D205" s="35" t="s">
        <v>556</v>
      </c>
      <c r="E205" s="16">
        <f>2025-1957</f>
        <v>68</v>
      </c>
      <c r="F205" s="43">
        <v>1</v>
      </c>
      <c r="G205" s="43">
        <v>1</v>
      </c>
      <c r="H205" s="19"/>
    </row>
    <row r="206" spans="1:8" ht="15.75" customHeight="1" x14ac:dyDescent="0.25">
      <c r="A206" s="32">
        <v>202</v>
      </c>
      <c r="B206" s="185"/>
      <c r="C206" s="185"/>
      <c r="D206" s="35" t="s">
        <v>557</v>
      </c>
      <c r="E206" s="16">
        <f>2025-1971</f>
        <v>54</v>
      </c>
      <c r="F206" s="43">
        <v>0.4</v>
      </c>
      <c r="G206" s="43">
        <v>0.4</v>
      </c>
      <c r="H206" s="19"/>
    </row>
    <row r="207" spans="1:8" ht="15.75" customHeight="1" x14ac:dyDescent="0.25">
      <c r="A207" s="32">
        <v>203</v>
      </c>
      <c r="B207" s="185"/>
      <c r="C207" s="185"/>
      <c r="D207" s="35" t="s">
        <v>558</v>
      </c>
      <c r="E207" s="16">
        <f>2025-1952</f>
        <v>73</v>
      </c>
      <c r="F207" s="43">
        <v>0.6</v>
      </c>
      <c r="G207" s="43">
        <v>0.6</v>
      </c>
      <c r="H207" s="19"/>
    </row>
    <row r="208" spans="1:8" ht="15.75" customHeight="1" x14ac:dyDescent="0.25">
      <c r="A208" s="32">
        <v>204</v>
      </c>
      <c r="B208" s="185"/>
      <c r="C208" s="185"/>
      <c r="D208" s="35" t="s">
        <v>559</v>
      </c>
      <c r="E208" s="16">
        <f>2025-1966</f>
        <v>59</v>
      </c>
      <c r="F208" s="43">
        <v>0.5</v>
      </c>
      <c r="G208" s="43">
        <v>0.5</v>
      </c>
      <c r="H208" s="19"/>
    </row>
    <row r="209" spans="1:8" ht="15.75" customHeight="1" x14ac:dyDescent="0.25">
      <c r="A209" s="32">
        <v>205</v>
      </c>
      <c r="B209" s="185"/>
      <c r="C209" s="185"/>
      <c r="D209" s="35" t="s">
        <v>560</v>
      </c>
      <c r="E209" s="16">
        <f>2025-1965</f>
        <v>60</v>
      </c>
      <c r="F209" s="43">
        <v>0.5</v>
      </c>
      <c r="G209" s="43">
        <v>0.5</v>
      </c>
      <c r="H209" s="19"/>
    </row>
    <row r="210" spans="1:8" ht="15.75" customHeight="1" x14ac:dyDescent="0.25">
      <c r="A210" s="32">
        <v>206</v>
      </c>
      <c r="B210" s="185"/>
      <c r="C210" s="185"/>
      <c r="D210" s="35" t="s">
        <v>561</v>
      </c>
      <c r="E210" s="16">
        <f>2025-1965</f>
        <v>60</v>
      </c>
      <c r="F210" s="43">
        <v>0.2</v>
      </c>
      <c r="G210" s="43">
        <v>0.2</v>
      </c>
      <c r="H210" s="19"/>
    </row>
    <row r="211" spans="1:8" ht="15.75" customHeight="1" x14ac:dyDescent="0.25">
      <c r="A211" s="32">
        <v>207</v>
      </c>
      <c r="B211" s="186"/>
      <c r="C211" s="186"/>
      <c r="D211" s="35" t="s">
        <v>562</v>
      </c>
      <c r="E211" s="16">
        <f>2025-1976</f>
        <v>49</v>
      </c>
      <c r="F211" s="44">
        <v>0.4</v>
      </c>
      <c r="G211" s="44">
        <v>0.4</v>
      </c>
      <c r="H211" s="45"/>
    </row>
    <row r="212" spans="1:8" ht="15.75" customHeight="1" x14ac:dyDescent="0.25">
      <c r="A212" s="32">
        <v>208</v>
      </c>
      <c r="B212" s="191" t="s">
        <v>59</v>
      </c>
      <c r="C212" s="175" t="s">
        <v>563</v>
      </c>
      <c r="D212" s="18" t="s">
        <v>564</v>
      </c>
      <c r="E212" s="16">
        <f>2025-1966</f>
        <v>59</v>
      </c>
      <c r="F212" s="43">
        <v>0.1</v>
      </c>
      <c r="G212" s="46">
        <v>0.3</v>
      </c>
      <c r="H212" s="45"/>
    </row>
    <row r="213" spans="1:8" ht="15.75" customHeight="1" x14ac:dyDescent="0.25">
      <c r="A213" s="32">
        <v>209</v>
      </c>
      <c r="B213" s="185"/>
      <c r="C213" s="176"/>
      <c r="D213" s="18" t="s">
        <v>565</v>
      </c>
      <c r="E213" s="16">
        <f>2025-1963</f>
        <v>62</v>
      </c>
      <c r="F213" s="19">
        <v>0</v>
      </c>
      <c r="G213" s="46">
        <v>0.2</v>
      </c>
      <c r="H213" s="45"/>
    </row>
    <row r="214" spans="1:8" ht="15.75" customHeight="1" x14ac:dyDescent="0.25">
      <c r="A214" s="32">
        <v>210</v>
      </c>
      <c r="B214" s="185"/>
      <c r="C214" s="176"/>
      <c r="D214" s="18" t="s">
        <v>566</v>
      </c>
      <c r="E214" s="16">
        <f>2025-1970</f>
        <v>55</v>
      </c>
      <c r="F214" s="19">
        <v>0</v>
      </c>
      <c r="G214" s="46">
        <v>0.4</v>
      </c>
      <c r="H214" s="45"/>
    </row>
    <row r="215" spans="1:8" ht="15.75" customHeight="1" x14ac:dyDescent="0.25">
      <c r="A215" s="32">
        <v>211</v>
      </c>
      <c r="B215" s="185"/>
      <c r="C215" s="176"/>
      <c r="D215" s="18" t="s">
        <v>567</v>
      </c>
      <c r="E215" s="16">
        <f>2025-1972</f>
        <v>53</v>
      </c>
      <c r="F215" s="46">
        <v>0.4</v>
      </c>
      <c r="G215" s="46">
        <v>0.4</v>
      </c>
      <c r="H215" s="45"/>
    </row>
    <row r="216" spans="1:8" ht="15.75" customHeight="1" x14ac:dyDescent="0.25">
      <c r="A216" s="32">
        <v>212</v>
      </c>
      <c r="B216" s="185"/>
      <c r="C216" s="176"/>
      <c r="D216" s="18" t="s">
        <v>568</v>
      </c>
      <c r="E216" s="16">
        <f>2025-1960</f>
        <v>65</v>
      </c>
      <c r="F216" s="46">
        <v>0.5</v>
      </c>
      <c r="G216" s="46">
        <v>0.5</v>
      </c>
      <c r="H216" s="45"/>
    </row>
    <row r="217" spans="1:8" ht="15.75" customHeight="1" x14ac:dyDescent="0.25">
      <c r="A217" s="32">
        <v>213</v>
      </c>
      <c r="B217" s="185"/>
      <c r="C217" s="176"/>
      <c r="D217" s="18" t="s">
        <v>487</v>
      </c>
      <c r="E217" s="16">
        <f>2025-1969</f>
        <v>56</v>
      </c>
      <c r="F217" s="46">
        <v>0.2</v>
      </c>
      <c r="G217" s="46">
        <v>0.2</v>
      </c>
      <c r="H217" s="45"/>
    </row>
    <row r="218" spans="1:8" ht="15.75" customHeight="1" x14ac:dyDescent="0.25">
      <c r="A218" s="32">
        <v>214</v>
      </c>
      <c r="B218" s="185"/>
      <c r="C218" s="176"/>
      <c r="D218" s="18" t="s">
        <v>569</v>
      </c>
      <c r="E218" s="16">
        <f>2025-1970</f>
        <v>55</v>
      </c>
      <c r="F218" s="19">
        <v>0</v>
      </c>
      <c r="G218" s="46">
        <v>0.2</v>
      </c>
      <c r="H218" s="45"/>
    </row>
    <row r="219" spans="1:8" ht="15.75" customHeight="1" x14ac:dyDescent="0.25">
      <c r="A219" s="32">
        <v>215</v>
      </c>
      <c r="B219" s="185"/>
      <c r="C219" s="176"/>
      <c r="D219" s="18" t="s">
        <v>538</v>
      </c>
      <c r="E219" s="16">
        <f>2025-1959</f>
        <v>66</v>
      </c>
      <c r="F219" s="46">
        <v>0.3</v>
      </c>
      <c r="G219" s="46">
        <v>0.3</v>
      </c>
      <c r="H219" s="45"/>
    </row>
    <row r="220" spans="1:8" ht="15.75" customHeight="1" x14ac:dyDescent="0.25">
      <c r="A220" s="32">
        <v>216</v>
      </c>
      <c r="B220" s="185"/>
      <c r="C220" s="176"/>
      <c r="D220" s="18" t="s">
        <v>570</v>
      </c>
      <c r="E220" s="16">
        <f>2025-1979</f>
        <v>46</v>
      </c>
      <c r="F220" s="46">
        <v>0.3</v>
      </c>
      <c r="G220" s="46">
        <v>0.3</v>
      </c>
      <c r="H220" s="45"/>
    </row>
    <row r="221" spans="1:8" ht="15.75" customHeight="1" x14ac:dyDescent="0.25">
      <c r="A221" s="32">
        <v>217</v>
      </c>
      <c r="B221" s="185"/>
      <c r="C221" s="176"/>
      <c r="D221" s="18" t="s">
        <v>571</v>
      </c>
      <c r="E221" s="16">
        <f>2025-2003</f>
        <v>22</v>
      </c>
      <c r="F221" s="19">
        <v>0</v>
      </c>
      <c r="G221" s="46">
        <v>0.3</v>
      </c>
      <c r="H221" s="45"/>
    </row>
    <row r="222" spans="1:8" ht="15.75" customHeight="1" x14ac:dyDescent="0.25">
      <c r="A222" s="32">
        <v>218</v>
      </c>
      <c r="B222" s="185"/>
      <c r="C222" s="176"/>
      <c r="D222" s="18" t="s">
        <v>572</v>
      </c>
      <c r="E222" s="16">
        <f>2025-1976</f>
        <v>49</v>
      </c>
      <c r="F222" s="19">
        <v>0</v>
      </c>
      <c r="G222" s="46">
        <v>0.25</v>
      </c>
      <c r="H222" s="45"/>
    </row>
    <row r="223" spans="1:8" ht="15.75" customHeight="1" x14ac:dyDescent="0.25">
      <c r="A223" s="32">
        <v>219</v>
      </c>
      <c r="B223" s="185"/>
      <c r="C223" s="176"/>
      <c r="D223" s="18" t="s">
        <v>573</v>
      </c>
      <c r="E223" s="16">
        <f>2025-1958</f>
        <v>67</v>
      </c>
      <c r="F223" s="46">
        <v>0.4</v>
      </c>
      <c r="G223" s="46">
        <v>0.4</v>
      </c>
      <c r="H223" s="45"/>
    </row>
    <row r="224" spans="1:8" ht="15.75" customHeight="1" x14ac:dyDescent="0.25">
      <c r="A224" s="32">
        <v>220</v>
      </c>
      <c r="B224" s="186"/>
      <c r="C224" s="177"/>
      <c r="D224" s="35" t="s">
        <v>574</v>
      </c>
      <c r="E224" s="16">
        <f>2025-1989</f>
        <v>36</v>
      </c>
      <c r="F224" s="45">
        <v>0</v>
      </c>
      <c r="G224" s="44">
        <v>0.2</v>
      </c>
      <c r="H224" s="45"/>
    </row>
    <row r="225" spans="1:8" ht="15.75" customHeight="1" x14ac:dyDescent="0.25">
      <c r="A225" s="32">
        <v>221</v>
      </c>
      <c r="B225" s="191" t="s">
        <v>59</v>
      </c>
      <c r="C225" s="175" t="s">
        <v>575</v>
      </c>
      <c r="D225" s="21" t="s">
        <v>576</v>
      </c>
      <c r="E225" s="16">
        <f>2025-1962</f>
        <v>63</v>
      </c>
      <c r="F225" s="45">
        <v>0.25</v>
      </c>
      <c r="G225" s="45">
        <v>0.25</v>
      </c>
      <c r="H225" s="45"/>
    </row>
    <row r="226" spans="1:8" ht="15.75" customHeight="1" x14ac:dyDescent="0.25">
      <c r="A226" s="32">
        <v>222</v>
      </c>
      <c r="B226" s="185"/>
      <c r="C226" s="176"/>
      <c r="D226" s="21" t="s">
        <v>577</v>
      </c>
      <c r="E226" s="16">
        <f>2025-1990</f>
        <v>35</v>
      </c>
      <c r="F226" s="47">
        <v>0.2</v>
      </c>
      <c r="G226" s="48">
        <v>0.2</v>
      </c>
      <c r="H226" s="45"/>
    </row>
    <row r="227" spans="1:8" ht="15.75" customHeight="1" x14ac:dyDescent="0.25">
      <c r="A227" s="32">
        <v>223</v>
      </c>
      <c r="B227" s="185"/>
      <c r="C227" s="176"/>
      <c r="D227" s="21" t="s">
        <v>578</v>
      </c>
      <c r="E227" s="16">
        <f>2025-1952</f>
        <v>73</v>
      </c>
      <c r="F227" s="45">
        <v>0.3</v>
      </c>
      <c r="G227" s="44">
        <v>0.2</v>
      </c>
      <c r="H227" s="45"/>
    </row>
    <row r="228" spans="1:8" ht="15.75" customHeight="1" x14ac:dyDescent="0.25">
      <c r="A228" s="32">
        <v>224</v>
      </c>
      <c r="B228" s="185"/>
      <c r="C228" s="176"/>
      <c r="D228" s="21" t="s">
        <v>579</v>
      </c>
      <c r="E228" s="16">
        <f>2025-1960</f>
        <v>65</v>
      </c>
      <c r="F228" s="45">
        <v>0</v>
      </c>
      <c r="G228" s="44">
        <v>0.4</v>
      </c>
      <c r="H228" s="45"/>
    </row>
    <row r="229" spans="1:8" ht="15.75" customHeight="1" x14ac:dyDescent="0.25">
      <c r="A229" s="32">
        <v>225</v>
      </c>
      <c r="B229" s="185"/>
      <c r="C229" s="176"/>
      <c r="D229" s="21" t="s">
        <v>580</v>
      </c>
      <c r="E229" s="16">
        <f>2025-1956</f>
        <v>69</v>
      </c>
      <c r="F229" s="45">
        <v>0.5</v>
      </c>
      <c r="G229" s="44">
        <v>0.5</v>
      </c>
      <c r="H229" s="45"/>
    </row>
    <row r="230" spans="1:8" ht="15.75" customHeight="1" x14ac:dyDescent="0.25">
      <c r="A230" s="32">
        <v>226</v>
      </c>
      <c r="B230" s="185"/>
      <c r="C230" s="176"/>
      <c r="D230" s="21" t="s">
        <v>581</v>
      </c>
      <c r="E230" s="16">
        <f>2025-1984</f>
        <v>41</v>
      </c>
      <c r="F230" s="45">
        <v>0.62</v>
      </c>
      <c r="G230" s="45">
        <v>0.62</v>
      </c>
      <c r="H230" s="45"/>
    </row>
    <row r="231" spans="1:8" ht="15.75" customHeight="1" x14ac:dyDescent="0.25">
      <c r="A231" s="32">
        <v>227</v>
      </c>
      <c r="B231" s="185"/>
      <c r="C231" s="176"/>
      <c r="D231" s="21" t="s">
        <v>582</v>
      </c>
      <c r="E231" s="16">
        <f>2025-1957</f>
        <v>68</v>
      </c>
      <c r="F231" s="45">
        <v>0.5</v>
      </c>
      <c r="G231" s="44">
        <v>1</v>
      </c>
      <c r="H231" s="45"/>
    </row>
    <row r="232" spans="1:8" ht="15.75" customHeight="1" x14ac:dyDescent="0.25">
      <c r="A232" s="32">
        <v>228</v>
      </c>
      <c r="B232" s="185"/>
      <c r="C232" s="176"/>
      <c r="D232" s="21" t="s">
        <v>583</v>
      </c>
      <c r="E232" s="16">
        <f>2025-1948</f>
        <v>77</v>
      </c>
      <c r="F232" s="45">
        <v>0.2</v>
      </c>
      <c r="G232" s="45">
        <v>0.25</v>
      </c>
      <c r="H232" s="45"/>
    </row>
    <row r="233" spans="1:8" ht="15.75" customHeight="1" x14ac:dyDescent="0.25">
      <c r="A233" s="32">
        <v>229</v>
      </c>
      <c r="B233" s="185"/>
      <c r="C233" s="176"/>
      <c r="D233" s="21" t="s">
        <v>584</v>
      </c>
      <c r="E233" s="16">
        <f>2025-1960</f>
        <v>65</v>
      </c>
      <c r="F233" s="45">
        <v>0</v>
      </c>
      <c r="G233" s="45">
        <v>0.72</v>
      </c>
      <c r="H233" s="45"/>
    </row>
    <row r="234" spans="1:8" ht="15.75" customHeight="1" x14ac:dyDescent="0.25">
      <c r="A234" s="32">
        <v>230</v>
      </c>
      <c r="B234" s="185"/>
      <c r="C234" s="176"/>
      <c r="D234" s="21" t="s">
        <v>409</v>
      </c>
      <c r="E234" s="16">
        <f>2025-1973</f>
        <v>52</v>
      </c>
      <c r="F234" s="44">
        <v>0.2</v>
      </c>
      <c r="G234" s="44">
        <v>0.2</v>
      </c>
      <c r="H234" s="45"/>
    </row>
    <row r="235" spans="1:8" ht="15.75" customHeight="1" x14ac:dyDescent="0.25">
      <c r="A235" s="32">
        <v>231</v>
      </c>
      <c r="B235" s="185"/>
      <c r="C235" s="176"/>
      <c r="D235" s="21" t="s">
        <v>585</v>
      </c>
      <c r="E235" s="16">
        <f>2025-1984</f>
        <v>41</v>
      </c>
      <c r="F235" s="45">
        <v>0.35</v>
      </c>
      <c r="G235" s="45">
        <v>0.35</v>
      </c>
      <c r="H235" s="45"/>
    </row>
    <row r="236" spans="1:8" ht="15.75" customHeight="1" x14ac:dyDescent="0.25">
      <c r="A236" s="32">
        <v>232</v>
      </c>
      <c r="B236" s="185"/>
      <c r="C236" s="176"/>
      <c r="D236" s="21" t="s">
        <v>586</v>
      </c>
      <c r="E236" s="16">
        <f>2025-1983</f>
        <v>42</v>
      </c>
      <c r="F236" s="45">
        <v>0.94</v>
      </c>
      <c r="G236" s="45">
        <v>0.94</v>
      </c>
      <c r="H236" s="45"/>
    </row>
    <row r="237" spans="1:8" ht="15.75" customHeight="1" x14ac:dyDescent="0.25">
      <c r="A237" s="32">
        <v>233</v>
      </c>
      <c r="B237" s="185"/>
      <c r="C237" s="176"/>
      <c r="D237" s="21" t="s">
        <v>587</v>
      </c>
      <c r="E237" s="16">
        <f>2025-1970</f>
        <v>55</v>
      </c>
      <c r="F237" s="45">
        <v>0</v>
      </c>
      <c r="G237" s="45">
        <v>0.2</v>
      </c>
      <c r="H237" s="45"/>
    </row>
    <row r="238" spans="1:8" ht="15.75" customHeight="1" x14ac:dyDescent="0.25">
      <c r="A238" s="32">
        <v>234</v>
      </c>
      <c r="B238" s="185"/>
      <c r="C238" s="176"/>
      <c r="D238" s="21" t="s">
        <v>409</v>
      </c>
      <c r="E238" s="16">
        <f>2025-1976</f>
        <v>49</v>
      </c>
      <c r="F238" s="45">
        <v>0.25</v>
      </c>
      <c r="G238" s="45">
        <v>0.25</v>
      </c>
      <c r="H238" s="45"/>
    </row>
    <row r="239" spans="1:8" ht="15.75" customHeight="1" x14ac:dyDescent="0.25">
      <c r="A239" s="32">
        <v>235</v>
      </c>
      <c r="B239" s="185"/>
      <c r="C239" s="176"/>
      <c r="D239" s="21" t="s">
        <v>588</v>
      </c>
      <c r="E239" s="16">
        <f>2025-1954</f>
        <v>71</v>
      </c>
      <c r="F239" s="45">
        <v>0.25</v>
      </c>
      <c r="G239" s="45">
        <v>0.25</v>
      </c>
      <c r="H239" s="45"/>
    </row>
    <row r="240" spans="1:8" ht="15.75" customHeight="1" x14ac:dyDescent="0.25">
      <c r="A240" s="32">
        <v>236</v>
      </c>
      <c r="B240" s="185"/>
      <c r="C240" s="176"/>
      <c r="D240" s="21" t="s">
        <v>589</v>
      </c>
      <c r="E240" s="16">
        <f>2025-1976</f>
        <v>49</v>
      </c>
      <c r="F240" s="45">
        <v>0</v>
      </c>
      <c r="G240" s="45">
        <v>0.65</v>
      </c>
      <c r="H240" s="45"/>
    </row>
    <row r="241" spans="1:8" ht="15.75" customHeight="1" x14ac:dyDescent="0.25">
      <c r="A241" s="32">
        <v>237</v>
      </c>
      <c r="B241" s="185"/>
      <c r="C241" s="176"/>
      <c r="D241" s="21" t="s">
        <v>590</v>
      </c>
      <c r="E241" s="16">
        <f>2025-1960</f>
        <v>65</v>
      </c>
      <c r="F241" s="45">
        <v>0</v>
      </c>
      <c r="G241" s="45">
        <v>0.45</v>
      </c>
      <c r="H241" s="45"/>
    </row>
    <row r="242" spans="1:8" ht="15.75" customHeight="1" x14ac:dyDescent="0.25">
      <c r="A242" s="32">
        <v>238</v>
      </c>
      <c r="B242" s="185"/>
      <c r="C242" s="176"/>
      <c r="D242" s="21" t="s">
        <v>591</v>
      </c>
      <c r="E242" s="16">
        <f>2025-1961</f>
        <v>64</v>
      </c>
      <c r="F242" s="45">
        <v>0</v>
      </c>
      <c r="G242" s="45">
        <v>0.85</v>
      </c>
      <c r="H242" s="45"/>
    </row>
    <row r="243" spans="1:8" ht="15.75" customHeight="1" x14ac:dyDescent="0.25">
      <c r="A243" s="32">
        <v>239</v>
      </c>
      <c r="B243" s="185"/>
      <c r="C243" s="176"/>
      <c r="D243" s="21" t="s">
        <v>592</v>
      </c>
      <c r="E243" s="16">
        <f>2025-1967</f>
        <v>58</v>
      </c>
      <c r="F243" s="45">
        <v>0</v>
      </c>
      <c r="G243" s="44">
        <v>0.7</v>
      </c>
      <c r="H243" s="45"/>
    </row>
    <row r="244" spans="1:8" ht="15.75" customHeight="1" x14ac:dyDescent="0.25">
      <c r="A244" s="32">
        <v>240</v>
      </c>
      <c r="B244" s="185"/>
      <c r="C244" s="176"/>
      <c r="D244" s="21" t="s">
        <v>593</v>
      </c>
      <c r="E244" s="16">
        <f>2025-1960</f>
        <v>65</v>
      </c>
      <c r="F244" s="45">
        <v>0</v>
      </c>
      <c r="G244" s="44">
        <v>0.5</v>
      </c>
      <c r="H244" s="45"/>
    </row>
    <row r="245" spans="1:8" ht="15.75" customHeight="1" x14ac:dyDescent="0.25">
      <c r="A245" s="32">
        <v>241</v>
      </c>
      <c r="B245" s="185"/>
      <c r="C245" s="176"/>
      <c r="D245" s="21" t="s">
        <v>594</v>
      </c>
      <c r="E245" s="16">
        <f>2025-1940</f>
        <v>85</v>
      </c>
      <c r="F245" s="44">
        <v>0.4</v>
      </c>
      <c r="G245" s="44">
        <v>0.4</v>
      </c>
      <c r="H245" s="45"/>
    </row>
    <row r="246" spans="1:8" ht="15.75" customHeight="1" x14ac:dyDescent="0.25">
      <c r="A246" s="32">
        <v>242</v>
      </c>
      <c r="B246" s="185"/>
      <c r="C246" s="176"/>
      <c r="D246" s="21" t="s">
        <v>595</v>
      </c>
      <c r="E246" s="16">
        <f>2025-1976</f>
        <v>49</v>
      </c>
      <c r="F246" s="44">
        <v>0.1</v>
      </c>
      <c r="G246" s="44">
        <v>0.1</v>
      </c>
      <c r="H246" s="45"/>
    </row>
    <row r="247" spans="1:8" ht="15.75" customHeight="1" x14ac:dyDescent="0.25">
      <c r="A247" s="32">
        <v>243</v>
      </c>
      <c r="B247" s="186"/>
      <c r="C247" s="177"/>
      <c r="D247" s="21" t="s">
        <v>596</v>
      </c>
      <c r="E247" s="16">
        <f>2025-1980</f>
        <v>45</v>
      </c>
      <c r="F247" s="44">
        <v>0.2</v>
      </c>
      <c r="G247" s="44">
        <v>0.2</v>
      </c>
      <c r="H247" s="45"/>
    </row>
    <row r="248" spans="1:8" ht="15.75" customHeight="1" x14ac:dyDescent="0.25">
      <c r="A248" s="32">
        <v>244</v>
      </c>
      <c r="B248" s="175" t="s">
        <v>46</v>
      </c>
      <c r="C248" s="175" t="s">
        <v>597</v>
      </c>
      <c r="D248" s="21" t="s">
        <v>598</v>
      </c>
      <c r="E248" s="45">
        <v>51</v>
      </c>
      <c r="F248" s="45"/>
      <c r="G248" s="45">
        <v>0.52</v>
      </c>
      <c r="H248" s="45"/>
    </row>
    <row r="249" spans="1:8" ht="15.75" customHeight="1" x14ac:dyDescent="0.25">
      <c r="A249" s="32">
        <v>245</v>
      </c>
      <c r="B249" s="176"/>
      <c r="C249" s="176"/>
      <c r="D249" s="21" t="s">
        <v>599</v>
      </c>
      <c r="E249" s="45">
        <v>53</v>
      </c>
      <c r="F249" s="45">
        <v>0.14000000000000001</v>
      </c>
      <c r="G249" s="45">
        <v>0.14000000000000001</v>
      </c>
      <c r="H249" s="45"/>
    </row>
    <row r="250" spans="1:8" ht="15.75" customHeight="1" x14ac:dyDescent="0.25">
      <c r="A250" s="32">
        <v>246</v>
      </c>
      <c r="B250" s="176"/>
      <c r="C250" s="176"/>
      <c r="D250" s="21" t="s">
        <v>600</v>
      </c>
      <c r="E250" s="45">
        <v>59</v>
      </c>
      <c r="F250" s="45"/>
      <c r="G250" s="45">
        <v>0.59</v>
      </c>
      <c r="H250" s="45"/>
    </row>
    <row r="251" spans="1:8" ht="15.75" customHeight="1" x14ac:dyDescent="0.25">
      <c r="A251" s="32">
        <v>247</v>
      </c>
      <c r="B251" s="176"/>
      <c r="C251" s="176"/>
      <c r="D251" s="21" t="s">
        <v>601</v>
      </c>
      <c r="E251" s="45">
        <v>67</v>
      </c>
      <c r="F251" s="45"/>
      <c r="G251" s="45">
        <v>0.22</v>
      </c>
      <c r="H251" s="45"/>
    </row>
    <row r="252" spans="1:8" ht="15.75" customHeight="1" x14ac:dyDescent="0.25">
      <c r="A252" s="32">
        <v>248</v>
      </c>
      <c r="B252" s="176"/>
      <c r="C252" s="176"/>
      <c r="D252" s="21" t="s">
        <v>602</v>
      </c>
      <c r="E252" s="45">
        <v>59</v>
      </c>
      <c r="F252" s="45"/>
      <c r="G252" s="45">
        <v>0.43</v>
      </c>
      <c r="H252" s="45"/>
    </row>
    <row r="253" spans="1:8" ht="15.75" customHeight="1" x14ac:dyDescent="0.25">
      <c r="A253" s="32">
        <v>249</v>
      </c>
      <c r="B253" s="176"/>
      <c r="C253" s="176"/>
      <c r="D253" s="21" t="s">
        <v>603</v>
      </c>
      <c r="E253" s="45">
        <v>43</v>
      </c>
      <c r="F253" s="45"/>
      <c r="G253" s="45">
        <v>0.26</v>
      </c>
      <c r="H253" s="45"/>
    </row>
    <row r="254" spans="1:8" ht="15.75" customHeight="1" x14ac:dyDescent="0.25">
      <c r="A254" s="32">
        <v>250</v>
      </c>
      <c r="B254" s="176"/>
      <c r="C254" s="176"/>
      <c r="D254" s="21" t="s">
        <v>604</v>
      </c>
      <c r="E254" s="45">
        <v>51</v>
      </c>
      <c r="F254" s="45"/>
      <c r="G254" s="45">
        <v>0.42</v>
      </c>
      <c r="H254" s="45"/>
    </row>
    <row r="255" spans="1:8" ht="15.75" customHeight="1" x14ac:dyDescent="0.25">
      <c r="A255" s="32">
        <v>251</v>
      </c>
      <c r="B255" s="176"/>
      <c r="C255" s="176"/>
      <c r="D255" s="21" t="s">
        <v>605</v>
      </c>
      <c r="E255" s="45">
        <v>57</v>
      </c>
      <c r="F255" s="45"/>
      <c r="G255" s="45">
        <v>0.33</v>
      </c>
      <c r="H255" s="45"/>
    </row>
    <row r="256" spans="1:8" ht="15.75" customHeight="1" x14ac:dyDescent="0.25">
      <c r="A256" s="32">
        <v>252</v>
      </c>
      <c r="B256" s="176"/>
      <c r="C256" s="176"/>
      <c r="D256" s="21" t="s">
        <v>606</v>
      </c>
      <c r="E256" s="45">
        <v>33</v>
      </c>
      <c r="F256" s="45"/>
      <c r="G256" s="45">
        <v>0.45</v>
      </c>
      <c r="H256" s="45"/>
    </row>
    <row r="257" spans="1:8" ht="15.75" customHeight="1" x14ac:dyDescent="0.25">
      <c r="A257" s="32">
        <v>253</v>
      </c>
      <c r="B257" s="176"/>
      <c r="C257" s="176"/>
      <c r="D257" s="21" t="s">
        <v>607</v>
      </c>
      <c r="E257" s="45">
        <v>66</v>
      </c>
      <c r="F257" s="45">
        <v>0.2</v>
      </c>
      <c r="G257" s="45">
        <v>0.2</v>
      </c>
      <c r="H257" s="45"/>
    </row>
    <row r="258" spans="1:8" ht="15.75" customHeight="1" x14ac:dyDescent="0.25">
      <c r="A258" s="32">
        <v>254</v>
      </c>
      <c r="B258" s="176"/>
      <c r="C258" s="176"/>
      <c r="D258" s="21" t="s">
        <v>608</v>
      </c>
      <c r="E258" s="45">
        <v>47</v>
      </c>
      <c r="F258" s="45"/>
      <c r="G258" s="45">
        <v>0.16</v>
      </c>
      <c r="H258" s="45"/>
    </row>
    <row r="259" spans="1:8" ht="15.75" customHeight="1" x14ac:dyDescent="0.25">
      <c r="A259" s="32">
        <v>255</v>
      </c>
      <c r="B259" s="176"/>
      <c r="C259" s="176"/>
      <c r="D259" s="21" t="s">
        <v>609</v>
      </c>
      <c r="E259" s="45">
        <v>62</v>
      </c>
      <c r="F259" s="45"/>
      <c r="G259" s="45">
        <v>0.19</v>
      </c>
      <c r="H259" s="45"/>
    </row>
    <row r="260" spans="1:8" ht="15.75" customHeight="1" x14ac:dyDescent="0.25">
      <c r="A260" s="32">
        <v>256</v>
      </c>
      <c r="B260" s="176"/>
      <c r="C260" s="176"/>
      <c r="D260" s="21" t="s">
        <v>610</v>
      </c>
      <c r="E260" s="45">
        <v>44</v>
      </c>
      <c r="F260" s="45"/>
      <c r="G260" s="45">
        <v>0.49</v>
      </c>
      <c r="H260" s="45"/>
    </row>
    <row r="261" spans="1:8" ht="15.75" customHeight="1" x14ac:dyDescent="0.25">
      <c r="A261" s="32">
        <v>257</v>
      </c>
      <c r="B261" s="176"/>
      <c r="C261" s="176"/>
      <c r="D261" s="21" t="s">
        <v>611</v>
      </c>
      <c r="E261" s="45">
        <v>58</v>
      </c>
      <c r="F261" s="45">
        <v>0.6</v>
      </c>
      <c r="G261" s="45">
        <v>0.6</v>
      </c>
      <c r="H261" s="45"/>
    </row>
    <row r="262" spans="1:8" ht="15.75" customHeight="1" x14ac:dyDescent="0.25">
      <c r="A262" s="32">
        <v>258</v>
      </c>
      <c r="B262" s="176"/>
      <c r="C262" s="176"/>
      <c r="D262" s="21" t="s">
        <v>612</v>
      </c>
      <c r="E262" s="45">
        <v>61</v>
      </c>
      <c r="F262" s="45"/>
      <c r="G262" s="45">
        <v>1.1299999999999999</v>
      </c>
      <c r="H262" s="45"/>
    </row>
    <row r="263" spans="1:8" ht="15.75" customHeight="1" x14ac:dyDescent="0.25">
      <c r="A263" s="32">
        <v>259</v>
      </c>
      <c r="B263" s="176"/>
      <c r="C263" s="176"/>
      <c r="D263" s="21" t="s">
        <v>613</v>
      </c>
      <c r="E263" s="45">
        <v>61</v>
      </c>
      <c r="F263" s="45"/>
      <c r="G263" s="45">
        <v>0.34</v>
      </c>
      <c r="H263" s="45"/>
    </row>
    <row r="264" spans="1:8" ht="15.75" customHeight="1" x14ac:dyDescent="0.25">
      <c r="A264" s="32">
        <v>260</v>
      </c>
      <c r="B264" s="176"/>
      <c r="C264" s="176"/>
      <c r="D264" s="21" t="s">
        <v>574</v>
      </c>
      <c r="E264" s="45">
        <v>60</v>
      </c>
      <c r="F264" s="45"/>
      <c r="G264" s="45">
        <v>0.87</v>
      </c>
      <c r="H264" s="45"/>
    </row>
    <row r="265" spans="1:8" ht="15.75" customHeight="1" x14ac:dyDescent="0.25">
      <c r="A265" s="32">
        <v>261</v>
      </c>
      <c r="B265" s="176"/>
      <c r="C265" s="176"/>
      <c r="D265" s="21" t="s">
        <v>614</v>
      </c>
      <c r="E265" s="45">
        <v>35</v>
      </c>
      <c r="F265" s="45">
        <v>0.11</v>
      </c>
      <c r="G265" s="45">
        <v>0.11</v>
      </c>
      <c r="H265" s="45"/>
    </row>
    <row r="266" spans="1:8" ht="15.75" customHeight="1" x14ac:dyDescent="0.25">
      <c r="A266" s="32">
        <v>262</v>
      </c>
      <c r="B266" s="176"/>
      <c r="C266" s="176"/>
      <c r="D266" s="21" t="s">
        <v>615</v>
      </c>
      <c r="E266" s="45">
        <v>45</v>
      </c>
      <c r="F266" s="45"/>
      <c r="G266" s="45">
        <v>0.22</v>
      </c>
      <c r="H266" s="45"/>
    </row>
    <row r="267" spans="1:8" ht="15.75" customHeight="1" x14ac:dyDescent="0.25">
      <c r="A267" s="32">
        <v>263</v>
      </c>
      <c r="B267" s="176"/>
      <c r="C267" s="176"/>
      <c r="D267" s="21" t="s">
        <v>616</v>
      </c>
      <c r="E267" s="45">
        <v>47</v>
      </c>
      <c r="F267" s="45">
        <v>0.34</v>
      </c>
      <c r="G267" s="45">
        <v>0.34</v>
      </c>
      <c r="H267" s="45"/>
    </row>
    <row r="268" spans="1:8" ht="15.75" customHeight="1" x14ac:dyDescent="0.25">
      <c r="A268" s="32">
        <v>264</v>
      </c>
      <c r="B268" s="176"/>
      <c r="C268" s="176"/>
      <c r="D268" s="21" t="s">
        <v>617</v>
      </c>
      <c r="E268" s="45">
        <v>69</v>
      </c>
      <c r="F268" s="45"/>
      <c r="G268" s="45">
        <v>7.0000000000000007E-2</v>
      </c>
      <c r="H268" s="45"/>
    </row>
    <row r="269" spans="1:8" ht="15.75" customHeight="1" x14ac:dyDescent="0.25">
      <c r="A269" s="32">
        <v>265</v>
      </c>
      <c r="B269" s="176"/>
      <c r="C269" s="176"/>
      <c r="D269" s="21" t="s">
        <v>618</v>
      </c>
      <c r="E269" s="45">
        <v>63</v>
      </c>
      <c r="F269" s="45"/>
      <c r="G269" s="45">
        <v>7.0000000000000007E-2</v>
      </c>
      <c r="H269" s="45"/>
    </row>
    <row r="270" spans="1:8" ht="15.75" customHeight="1" x14ac:dyDescent="0.25">
      <c r="A270" s="32">
        <v>266</v>
      </c>
      <c r="B270" s="176"/>
      <c r="C270" s="176"/>
      <c r="D270" s="21" t="s">
        <v>619</v>
      </c>
      <c r="E270" s="45">
        <v>58</v>
      </c>
      <c r="F270" s="45"/>
      <c r="G270" s="45">
        <v>0.37</v>
      </c>
      <c r="H270" s="45"/>
    </row>
    <row r="271" spans="1:8" ht="15.75" customHeight="1" x14ac:dyDescent="0.25">
      <c r="A271" s="32">
        <v>267</v>
      </c>
      <c r="B271" s="176"/>
      <c r="C271" s="176"/>
      <c r="D271" s="21" t="s">
        <v>620</v>
      </c>
      <c r="E271" s="45">
        <v>39</v>
      </c>
      <c r="F271" s="45"/>
      <c r="G271" s="45">
        <v>0.16</v>
      </c>
      <c r="H271" s="45"/>
    </row>
    <row r="272" spans="1:8" ht="15.75" customHeight="1" x14ac:dyDescent="0.25">
      <c r="A272" s="32">
        <v>268</v>
      </c>
      <c r="B272" s="176"/>
      <c r="C272" s="176"/>
      <c r="D272" s="21" t="s">
        <v>621</v>
      </c>
      <c r="E272" s="45">
        <v>49</v>
      </c>
      <c r="F272" s="45">
        <v>0.26</v>
      </c>
      <c r="G272" s="45">
        <v>0.26</v>
      </c>
      <c r="H272" s="45"/>
    </row>
    <row r="273" spans="1:8" ht="15.75" customHeight="1" x14ac:dyDescent="0.25">
      <c r="A273" s="32">
        <v>269</v>
      </c>
      <c r="B273" s="176"/>
      <c r="C273" s="176"/>
      <c r="D273" s="21" t="s">
        <v>622</v>
      </c>
      <c r="E273" s="45">
        <v>57</v>
      </c>
      <c r="F273" s="45"/>
      <c r="G273" s="45">
        <v>0.13</v>
      </c>
      <c r="H273" s="45"/>
    </row>
    <row r="274" spans="1:8" ht="15.75" customHeight="1" x14ac:dyDescent="0.25">
      <c r="A274" s="32">
        <v>270</v>
      </c>
      <c r="B274" s="176"/>
      <c r="C274" s="177"/>
      <c r="D274" s="21" t="s">
        <v>623</v>
      </c>
      <c r="E274" s="45">
        <v>48</v>
      </c>
      <c r="F274" s="45"/>
      <c r="G274" s="45">
        <v>0.36</v>
      </c>
      <c r="H274" s="45"/>
    </row>
    <row r="275" spans="1:8" ht="15.75" customHeight="1" x14ac:dyDescent="0.25">
      <c r="A275" s="32">
        <v>271</v>
      </c>
      <c r="B275" s="176"/>
      <c r="C275" s="175" t="s">
        <v>624</v>
      </c>
      <c r="D275" s="21" t="s">
        <v>625</v>
      </c>
      <c r="E275" s="45">
        <v>56</v>
      </c>
      <c r="F275" s="45"/>
      <c r="G275" s="45">
        <v>0.15</v>
      </c>
      <c r="H275" s="45"/>
    </row>
    <row r="276" spans="1:8" ht="15.75" customHeight="1" x14ac:dyDescent="0.25">
      <c r="A276" s="32">
        <v>272</v>
      </c>
      <c r="B276" s="176"/>
      <c r="C276" s="176"/>
      <c r="D276" s="21" t="s">
        <v>626</v>
      </c>
      <c r="E276" s="45">
        <v>63</v>
      </c>
      <c r="F276" s="45"/>
      <c r="G276" s="45">
        <v>0.16</v>
      </c>
      <c r="H276" s="45"/>
    </row>
    <row r="277" spans="1:8" ht="15.75" customHeight="1" x14ac:dyDescent="0.25">
      <c r="A277" s="32">
        <v>273</v>
      </c>
      <c r="B277" s="176"/>
      <c r="C277" s="176"/>
      <c r="D277" s="21" t="s">
        <v>627</v>
      </c>
      <c r="E277" s="45">
        <v>63</v>
      </c>
      <c r="F277" s="45">
        <v>0.12</v>
      </c>
      <c r="G277" s="45">
        <v>0.12</v>
      </c>
      <c r="H277" s="45"/>
    </row>
    <row r="278" spans="1:8" ht="15.75" customHeight="1" x14ac:dyDescent="0.25">
      <c r="A278" s="32">
        <v>274</v>
      </c>
      <c r="B278" s="176"/>
      <c r="C278" s="176"/>
      <c r="D278" s="21" t="s">
        <v>628</v>
      </c>
      <c r="E278" s="45">
        <v>43</v>
      </c>
      <c r="F278" s="45">
        <v>0.26</v>
      </c>
      <c r="G278" s="45">
        <v>0.26</v>
      </c>
      <c r="H278" s="45"/>
    </row>
    <row r="279" spans="1:8" ht="15.75" customHeight="1" x14ac:dyDescent="0.25">
      <c r="A279" s="32">
        <v>275</v>
      </c>
      <c r="B279" s="176"/>
      <c r="C279" s="176"/>
      <c r="D279" s="21" t="s">
        <v>428</v>
      </c>
      <c r="E279" s="45">
        <v>62</v>
      </c>
      <c r="F279" s="45">
        <v>0.4</v>
      </c>
      <c r="G279" s="45">
        <v>0.4</v>
      </c>
      <c r="H279" s="45"/>
    </row>
    <row r="280" spans="1:8" ht="15.75" customHeight="1" x14ac:dyDescent="0.25">
      <c r="A280" s="32">
        <v>276</v>
      </c>
      <c r="B280" s="176"/>
      <c r="C280" s="176"/>
      <c r="D280" s="21" t="s">
        <v>629</v>
      </c>
      <c r="E280" s="45">
        <v>47</v>
      </c>
      <c r="F280" s="45"/>
      <c r="G280" s="45">
        <v>0.15</v>
      </c>
      <c r="H280" s="45"/>
    </row>
    <row r="281" spans="1:8" ht="15.75" customHeight="1" x14ac:dyDescent="0.25">
      <c r="A281" s="32">
        <v>277</v>
      </c>
      <c r="B281" s="176"/>
      <c r="C281" s="176"/>
      <c r="D281" s="21" t="s">
        <v>630</v>
      </c>
      <c r="E281" s="45">
        <v>56</v>
      </c>
      <c r="F281" s="45"/>
      <c r="G281" s="45">
        <v>0.17</v>
      </c>
      <c r="H281" s="45"/>
    </row>
    <row r="282" spans="1:8" ht="15.75" customHeight="1" x14ac:dyDescent="0.25">
      <c r="A282" s="32">
        <v>278</v>
      </c>
      <c r="B282" s="176"/>
      <c r="C282" s="176"/>
      <c r="D282" s="21" t="s">
        <v>631</v>
      </c>
      <c r="E282" s="45">
        <v>52</v>
      </c>
      <c r="F282" s="45">
        <v>0.15</v>
      </c>
      <c r="G282" s="45">
        <v>0.15</v>
      </c>
      <c r="H282" s="45"/>
    </row>
    <row r="283" spans="1:8" ht="15.75" customHeight="1" x14ac:dyDescent="0.25">
      <c r="A283" s="32">
        <v>279</v>
      </c>
      <c r="B283" s="176"/>
      <c r="C283" s="176"/>
      <c r="D283" s="21" t="s">
        <v>585</v>
      </c>
      <c r="E283" s="45">
        <v>40</v>
      </c>
      <c r="F283" s="45"/>
      <c r="G283" s="45">
        <v>0.23</v>
      </c>
      <c r="H283" s="45"/>
    </row>
    <row r="284" spans="1:8" ht="15.75" customHeight="1" x14ac:dyDescent="0.25">
      <c r="A284" s="32">
        <v>280</v>
      </c>
      <c r="B284" s="176"/>
      <c r="C284" s="176"/>
      <c r="D284" s="21" t="s">
        <v>632</v>
      </c>
      <c r="E284" s="45">
        <v>49</v>
      </c>
      <c r="F284" s="45">
        <v>0.4</v>
      </c>
      <c r="G284" s="45">
        <v>0.4</v>
      </c>
      <c r="H284" s="45"/>
    </row>
    <row r="285" spans="1:8" ht="15.75" customHeight="1" x14ac:dyDescent="0.25">
      <c r="A285" s="32">
        <v>281</v>
      </c>
      <c r="B285" s="176"/>
      <c r="C285" s="176"/>
      <c r="D285" s="21" t="s">
        <v>633</v>
      </c>
      <c r="E285" s="45">
        <v>48</v>
      </c>
      <c r="F285" s="45">
        <v>0.24</v>
      </c>
      <c r="G285" s="45">
        <v>0.24</v>
      </c>
      <c r="H285" s="45"/>
    </row>
    <row r="286" spans="1:8" ht="15.75" customHeight="1" x14ac:dyDescent="0.25">
      <c r="A286" s="32">
        <v>282</v>
      </c>
      <c r="B286" s="176"/>
      <c r="C286" s="176"/>
      <c r="D286" s="21" t="s">
        <v>634</v>
      </c>
      <c r="E286" s="45">
        <v>40</v>
      </c>
      <c r="F286" s="45">
        <v>0.26</v>
      </c>
      <c r="G286" s="45">
        <v>0.26</v>
      </c>
      <c r="H286" s="45"/>
    </row>
    <row r="287" spans="1:8" ht="15.75" customHeight="1" x14ac:dyDescent="0.25">
      <c r="A287" s="32">
        <v>283</v>
      </c>
      <c r="B287" s="176"/>
      <c r="C287" s="176"/>
      <c r="D287" s="21" t="s">
        <v>635</v>
      </c>
      <c r="E287" s="45">
        <v>48</v>
      </c>
      <c r="F287" s="45"/>
      <c r="G287" s="45">
        <v>0.21</v>
      </c>
      <c r="H287" s="45"/>
    </row>
    <row r="288" spans="1:8" ht="15.75" customHeight="1" x14ac:dyDescent="0.25">
      <c r="A288" s="32">
        <v>284</v>
      </c>
      <c r="B288" s="176"/>
      <c r="C288" s="176"/>
      <c r="D288" s="21" t="s">
        <v>636</v>
      </c>
      <c r="E288" s="45">
        <v>51</v>
      </c>
      <c r="F288" s="45">
        <v>0.98</v>
      </c>
      <c r="G288" s="45">
        <v>0.98</v>
      </c>
      <c r="H288" s="45"/>
    </row>
    <row r="289" spans="1:8" ht="15.75" customHeight="1" x14ac:dyDescent="0.25">
      <c r="A289" s="32">
        <v>285</v>
      </c>
      <c r="B289" s="176"/>
      <c r="C289" s="176"/>
      <c r="D289" s="21" t="s">
        <v>637</v>
      </c>
      <c r="E289" s="45">
        <v>48</v>
      </c>
      <c r="F289" s="45"/>
      <c r="G289" s="45">
        <v>0.31</v>
      </c>
      <c r="H289" s="45"/>
    </row>
    <row r="290" spans="1:8" ht="15.75" customHeight="1" x14ac:dyDescent="0.25">
      <c r="A290" s="32">
        <v>286</v>
      </c>
      <c r="B290" s="176"/>
      <c r="C290" s="176"/>
      <c r="D290" s="21" t="s">
        <v>638</v>
      </c>
      <c r="E290" s="45">
        <v>51</v>
      </c>
      <c r="F290" s="45">
        <v>0.27</v>
      </c>
      <c r="G290" s="45">
        <v>0.27</v>
      </c>
      <c r="H290" s="45"/>
    </row>
    <row r="291" spans="1:8" ht="15.75" customHeight="1" x14ac:dyDescent="0.25">
      <c r="A291" s="32">
        <v>287</v>
      </c>
      <c r="B291" s="176"/>
      <c r="C291" s="176"/>
      <c r="D291" s="21" t="s">
        <v>639</v>
      </c>
      <c r="E291" s="45">
        <v>56</v>
      </c>
      <c r="F291" s="45"/>
      <c r="G291" s="45">
        <v>0.15</v>
      </c>
      <c r="H291" s="45"/>
    </row>
    <row r="292" spans="1:8" ht="15.75" customHeight="1" x14ac:dyDescent="0.25">
      <c r="A292" s="32">
        <v>288</v>
      </c>
      <c r="B292" s="176"/>
      <c r="C292" s="176"/>
      <c r="D292" s="21" t="s">
        <v>496</v>
      </c>
      <c r="E292" s="45">
        <v>59</v>
      </c>
      <c r="F292" s="45"/>
      <c r="G292" s="45">
        <v>0.33</v>
      </c>
      <c r="H292" s="45"/>
    </row>
    <row r="293" spans="1:8" ht="15.75" customHeight="1" x14ac:dyDescent="0.25">
      <c r="A293" s="32">
        <v>289</v>
      </c>
      <c r="B293" s="176"/>
      <c r="C293" s="176"/>
      <c r="D293" s="21" t="s">
        <v>379</v>
      </c>
      <c r="E293" s="45">
        <v>59</v>
      </c>
      <c r="F293" s="45"/>
      <c r="G293" s="45">
        <v>0.23</v>
      </c>
      <c r="H293" s="45"/>
    </row>
    <row r="294" spans="1:8" ht="15.75" customHeight="1" x14ac:dyDescent="0.25">
      <c r="A294" s="32">
        <v>290</v>
      </c>
      <c r="B294" s="176"/>
      <c r="C294" s="177"/>
      <c r="D294" s="21" t="s">
        <v>90</v>
      </c>
      <c r="E294" s="45">
        <v>43</v>
      </c>
      <c r="F294" s="45">
        <v>0.1</v>
      </c>
      <c r="G294" s="45">
        <v>0.1</v>
      </c>
      <c r="H294" s="45"/>
    </row>
    <row r="295" spans="1:8" ht="15.75" customHeight="1" x14ac:dyDescent="0.25">
      <c r="A295" s="32">
        <v>291</v>
      </c>
      <c r="B295" s="176"/>
      <c r="C295" s="175" t="s">
        <v>640</v>
      </c>
      <c r="D295" s="21" t="s">
        <v>641</v>
      </c>
      <c r="E295" s="45">
        <v>41</v>
      </c>
      <c r="F295" s="45">
        <v>0.21</v>
      </c>
      <c r="G295" s="45">
        <v>0.21</v>
      </c>
      <c r="H295" s="45"/>
    </row>
    <row r="296" spans="1:8" ht="15.75" customHeight="1" x14ac:dyDescent="0.25">
      <c r="A296" s="32">
        <v>292</v>
      </c>
      <c r="B296" s="176"/>
      <c r="C296" s="176"/>
      <c r="D296" s="21" t="s">
        <v>642</v>
      </c>
      <c r="E296" s="45">
        <v>41</v>
      </c>
      <c r="F296" s="45">
        <v>0.54</v>
      </c>
      <c r="G296" s="45">
        <v>0.54</v>
      </c>
      <c r="H296" s="45"/>
    </row>
    <row r="297" spans="1:8" ht="15.75" customHeight="1" x14ac:dyDescent="0.25">
      <c r="A297" s="32">
        <v>293</v>
      </c>
      <c r="B297" s="176"/>
      <c r="C297" s="176"/>
      <c r="D297" s="21" t="s">
        <v>643</v>
      </c>
      <c r="E297" s="45">
        <v>67</v>
      </c>
      <c r="F297" s="45">
        <v>0.13</v>
      </c>
      <c r="G297" s="45">
        <v>0.13</v>
      </c>
      <c r="H297" s="45"/>
    </row>
    <row r="298" spans="1:8" ht="15.75" customHeight="1" x14ac:dyDescent="0.25">
      <c r="A298" s="32">
        <v>294</v>
      </c>
      <c r="B298" s="176"/>
      <c r="C298" s="176"/>
      <c r="D298" s="21" t="s">
        <v>644</v>
      </c>
      <c r="E298" s="45">
        <v>52</v>
      </c>
      <c r="F298" s="45">
        <v>0.92</v>
      </c>
      <c r="G298" s="45">
        <v>0.92</v>
      </c>
      <c r="H298" s="45"/>
    </row>
    <row r="299" spans="1:8" ht="15.75" customHeight="1" x14ac:dyDescent="0.25">
      <c r="A299" s="32">
        <v>295</v>
      </c>
      <c r="B299" s="176"/>
      <c r="C299" s="176"/>
      <c r="D299" s="21" t="s">
        <v>645</v>
      </c>
      <c r="E299" s="45">
        <v>55</v>
      </c>
      <c r="F299" s="45">
        <v>0.39</v>
      </c>
      <c r="G299" s="45">
        <v>0.39</v>
      </c>
      <c r="H299" s="45"/>
    </row>
    <row r="300" spans="1:8" ht="15.75" customHeight="1" x14ac:dyDescent="0.25">
      <c r="A300" s="32">
        <v>296</v>
      </c>
      <c r="B300" s="176"/>
      <c r="C300" s="176"/>
      <c r="D300" s="21" t="s">
        <v>646</v>
      </c>
      <c r="E300" s="45">
        <v>59</v>
      </c>
      <c r="F300" s="45">
        <v>0.33</v>
      </c>
      <c r="G300" s="45">
        <v>0.33</v>
      </c>
      <c r="H300" s="45"/>
    </row>
    <row r="301" spans="1:8" ht="15.75" customHeight="1" x14ac:dyDescent="0.25">
      <c r="A301" s="32">
        <v>297</v>
      </c>
      <c r="B301" s="176"/>
      <c r="C301" s="176"/>
      <c r="D301" s="21" t="s">
        <v>647</v>
      </c>
      <c r="E301" s="45">
        <v>50</v>
      </c>
      <c r="F301" s="45">
        <v>0.51</v>
      </c>
      <c r="G301" s="45">
        <v>0.51</v>
      </c>
      <c r="H301" s="45"/>
    </row>
    <row r="302" spans="1:8" ht="15.75" customHeight="1" x14ac:dyDescent="0.25">
      <c r="A302" s="32">
        <v>298</v>
      </c>
      <c r="B302" s="176"/>
      <c r="C302" s="176"/>
      <c r="D302" s="21" t="s">
        <v>648</v>
      </c>
      <c r="E302" s="45">
        <v>34</v>
      </c>
      <c r="F302" s="45">
        <v>0.11</v>
      </c>
      <c r="G302" s="45">
        <v>0.11</v>
      </c>
      <c r="H302" s="45"/>
    </row>
    <row r="303" spans="1:8" ht="15.75" customHeight="1" x14ac:dyDescent="0.25">
      <c r="A303" s="32">
        <v>299</v>
      </c>
      <c r="B303" s="176"/>
      <c r="C303" s="176"/>
      <c r="D303" s="21" t="s">
        <v>649</v>
      </c>
      <c r="E303" s="45">
        <v>51</v>
      </c>
      <c r="F303" s="45"/>
      <c r="G303" s="45">
        <v>0.43</v>
      </c>
      <c r="H303" s="45"/>
    </row>
    <row r="304" spans="1:8" ht="15.75" customHeight="1" x14ac:dyDescent="0.25">
      <c r="A304" s="32">
        <v>300</v>
      </c>
      <c r="B304" s="176"/>
      <c r="C304" s="176"/>
      <c r="D304" s="21" t="s">
        <v>650</v>
      </c>
      <c r="E304" s="45">
        <v>51</v>
      </c>
      <c r="F304" s="45">
        <v>0.16</v>
      </c>
      <c r="G304" s="45">
        <v>0.16</v>
      </c>
      <c r="H304" s="45"/>
    </row>
    <row r="305" spans="1:8" ht="15.75" customHeight="1" x14ac:dyDescent="0.25">
      <c r="A305" s="32">
        <v>301</v>
      </c>
      <c r="B305" s="176"/>
      <c r="C305" s="176"/>
      <c r="D305" s="21" t="s">
        <v>651</v>
      </c>
      <c r="E305" s="45">
        <v>50</v>
      </c>
      <c r="F305" s="45">
        <v>0.45</v>
      </c>
      <c r="G305" s="45">
        <v>0.45</v>
      </c>
      <c r="H305" s="45"/>
    </row>
    <row r="306" spans="1:8" ht="15.75" customHeight="1" x14ac:dyDescent="0.25">
      <c r="A306" s="32">
        <v>302</v>
      </c>
      <c r="B306" s="176"/>
      <c r="C306" s="176"/>
      <c r="D306" s="21" t="s">
        <v>652</v>
      </c>
      <c r="E306" s="45">
        <v>40</v>
      </c>
      <c r="F306" s="45">
        <v>0.5</v>
      </c>
      <c r="G306" s="45">
        <v>0.5</v>
      </c>
      <c r="H306" s="45"/>
    </row>
    <row r="307" spans="1:8" ht="15.75" customHeight="1" x14ac:dyDescent="0.25">
      <c r="A307" s="32">
        <v>303</v>
      </c>
      <c r="B307" s="176"/>
      <c r="C307" s="176"/>
      <c r="D307" s="21" t="s">
        <v>653</v>
      </c>
      <c r="E307" s="45">
        <v>47</v>
      </c>
      <c r="F307" s="45">
        <v>0.59</v>
      </c>
      <c r="G307" s="45">
        <v>0.59</v>
      </c>
      <c r="H307" s="45"/>
    </row>
    <row r="308" spans="1:8" ht="15.75" customHeight="1" x14ac:dyDescent="0.25">
      <c r="A308" s="32">
        <v>304</v>
      </c>
      <c r="B308" s="176"/>
      <c r="C308" s="176"/>
      <c r="D308" s="21" t="s">
        <v>654</v>
      </c>
      <c r="E308" s="45">
        <v>38</v>
      </c>
      <c r="F308" s="45">
        <v>0.15</v>
      </c>
      <c r="G308" s="45">
        <v>0.15</v>
      </c>
      <c r="H308" s="45"/>
    </row>
    <row r="309" spans="1:8" ht="15.75" customHeight="1" x14ac:dyDescent="0.25">
      <c r="A309" s="32">
        <v>305</v>
      </c>
      <c r="B309" s="176"/>
      <c r="C309" s="176"/>
      <c r="D309" s="21" t="s">
        <v>655</v>
      </c>
      <c r="E309" s="45">
        <v>49</v>
      </c>
      <c r="F309" s="45"/>
      <c r="G309" s="45">
        <v>0.16</v>
      </c>
      <c r="H309" s="45"/>
    </row>
    <row r="310" spans="1:8" ht="15.75" customHeight="1" x14ac:dyDescent="0.25">
      <c r="A310" s="32">
        <v>306</v>
      </c>
      <c r="B310" s="176"/>
      <c r="C310" s="176"/>
      <c r="D310" s="21" t="s">
        <v>656</v>
      </c>
      <c r="E310" s="45">
        <v>42</v>
      </c>
      <c r="F310" s="45">
        <v>0.53</v>
      </c>
      <c r="G310" s="45">
        <v>0.53</v>
      </c>
      <c r="H310" s="45"/>
    </row>
    <row r="311" spans="1:8" ht="15.75" customHeight="1" x14ac:dyDescent="0.25">
      <c r="A311" s="32">
        <v>307</v>
      </c>
      <c r="B311" s="176"/>
      <c r="C311" s="176"/>
      <c r="D311" s="21" t="s">
        <v>657</v>
      </c>
      <c r="E311" s="45">
        <v>39</v>
      </c>
      <c r="F311" s="45">
        <v>0.13</v>
      </c>
      <c r="G311" s="45">
        <v>0.13</v>
      </c>
      <c r="H311" s="45"/>
    </row>
    <row r="312" spans="1:8" ht="15.75" customHeight="1" x14ac:dyDescent="0.25">
      <c r="A312" s="32">
        <v>308</v>
      </c>
      <c r="B312" s="176"/>
      <c r="C312" s="176"/>
      <c r="D312" s="21" t="s">
        <v>658</v>
      </c>
      <c r="E312" s="45">
        <v>51</v>
      </c>
      <c r="F312" s="45"/>
      <c r="G312" s="45">
        <v>0.31</v>
      </c>
      <c r="H312" s="45"/>
    </row>
    <row r="313" spans="1:8" ht="15.75" customHeight="1" x14ac:dyDescent="0.25">
      <c r="A313" s="32">
        <v>309</v>
      </c>
      <c r="B313" s="176"/>
      <c r="C313" s="176"/>
      <c r="D313" s="21" t="s">
        <v>659</v>
      </c>
      <c r="E313" s="45">
        <v>51</v>
      </c>
      <c r="F313" s="45">
        <v>0.31</v>
      </c>
      <c r="G313" s="45">
        <v>0.31</v>
      </c>
      <c r="H313" s="45"/>
    </row>
    <row r="314" spans="1:8" ht="15.75" customHeight="1" x14ac:dyDescent="0.25">
      <c r="A314" s="32">
        <v>310</v>
      </c>
      <c r="B314" s="176"/>
      <c r="C314" s="176"/>
      <c r="D314" s="21" t="s">
        <v>379</v>
      </c>
      <c r="E314" s="45">
        <v>53</v>
      </c>
      <c r="F314" s="45"/>
      <c r="G314" s="45">
        <v>0.18</v>
      </c>
      <c r="H314" s="45"/>
    </row>
    <row r="315" spans="1:8" ht="15.75" customHeight="1" x14ac:dyDescent="0.25">
      <c r="A315" s="32">
        <v>311</v>
      </c>
      <c r="B315" s="176"/>
      <c r="C315" s="176"/>
      <c r="D315" s="21" t="s">
        <v>660</v>
      </c>
      <c r="E315" s="45">
        <v>47</v>
      </c>
      <c r="F315" s="45">
        <v>0.18</v>
      </c>
      <c r="G315" s="45">
        <v>0.18</v>
      </c>
      <c r="H315" s="45"/>
    </row>
    <row r="316" spans="1:8" ht="15.75" customHeight="1" x14ac:dyDescent="0.25">
      <c r="A316" s="32">
        <v>312</v>
      </c>
      <c r="B316" s="176"/>
      <c r="C316" s="176"/>
      <c r="D316" s="21" t="s">
        <v>661</v>
      </c>
      <c r="E316" s="45">
        <v>31</v>
      </c>
      <c r="F316" s="45">
        <v>0.12</v>
      </c>
      <c r="G316" s="45">
        <v>0.12</v>
      </c>
      <c r="H316" s="45"/>
    </row>
    <row r="317" spans="1:8" ht="15.75" customHeight="1" x14ac:dyDescent="0.25">
      <c r="A317" s="32">
        <v>313</v>
      </c>
      <c r="B317" s="176"/>
      <c r="C317" s="176"/>
      <c r="D317" s="21" t="s">
        <v>662</v>
      </c>
      <c r="E317" s="45">
        <v>72</v>
      </c>
      <c r="F317" s="45">
        <v>0.47</v>
      </c>
      <c r="G317" s="45">
        <v>0.47</v>
      </c>
      <c r="H317" s="45"/>
    </row>
    <row r="318" spans="1:8" ht="15.75" customHeight="1" x14ac:dyDescent="0.25">
      <c r="A318" s="32">
        <v>314</v>
      </c>
      <c r="B318" s="177"/>
      <c r="C318" s="177"/>
      <c r="D318" s="21" t="s">
        <v>663</v>
      </c>
      <c r="E318" s="45">
        <v>56</v>
      </c>
      <c r="F318" s="45">
        <v>0.42</v>
      </c>
      <c r="G318" s="45">
        <v>0.42</v>
      </c>
      <c r="H318" s="45"/>
    </row>
    <row r="319" spans="1:8" ht="15.75" customHeight="1" x14ac:dyDescent="0.25">
      <c r="A319" s="32">
        <v>315</v>
      </c>
      <c r="B319" s="178" t="s">
        <v>73</v>
      </c>
      <c r="C319" s="178" t="s">
        <v>664</v>
      </c>
      <c r="D319" s="18" t="s">
        <v>665</v>
      </c>
      <c r="E319" s="26"/>
      <c r="F319" s="26"/>
      <c r="G319" s="26">
        <v>0.3</v>
      </c>
      <c r="H319" s="26"/>
    </row>
    <row r="320" spans="1:8" ht="15.75" customHeight="1" x14ac:dyDescent="0.25">
      <c r="A320" s="32">
        <v>316</v>
      </c>
      <c r="B320" s="179"/>
      <c r="C320" s="179"/>
      <c r="D320" s="18" t="s">
        <v>666</v>
      </c>
      <c r="E320" s="26"/>
      <c r="F320" s="26"/>
      <c r="G320" s="26">
        <v>1</v>
      </c>
      <c r="H320" s="26"/>
    </row>
    <row r="321" spans="1:8" ht="15.75" customHeight="1" x14ac:dyDescent="0.25">
      <c r="A321" s="32">
        <v>317</v>
      </c>
      <c r="B321" s="179"/>
      <c r="C321" s="179"/>
      <c r="D321" s="18" t="s">
        <v>667</v>
      </c>
      <c r="E321" s="26"/>
      <c r="F321" s="26"/>
      <c r="G321" s="26">
        <v>0.4</v>
      </c>
      <c r="H321" s="26"/>
    </row>
    <row r="322" spans="1:8" ht="15.75" customHeight="1" x14ac:dyDescent="0.25">
      <c r="A322" s="32">
        <v>318</v>
      </c>
      <c r="B322" s="179"/>
      <c r="C322" s="179"/>
      <c r="D322" s="18" t="s">
        <v>668</v>
      </c>
      <c r="E322" s="26"/>
      <c r="F322" s="26"/>
      <c r="G322" s="26">
        <v>0.5</v>
      </c>
      <c r="H322" s="26"/>
    </row>
    <row r="323" spans="1:8" ht="15.75" customHeight="1" x14ac:dyDescent="0.25">
      <c r="A323" s="32">
        <v>319</v>
      </c>
      <c r="B323" s="179"/>
      <c r="C323" s="179"/>
      <c r="D323" s="18" t="s">
        <v>669</v>
      </c>
      <c r="E323" s="26"/>
      <c r="F323" s="26"/>
      <c r="G323" s="26">
        <v>0.2</v>
      </c>
      <c r="H323" s="26"/>
    </row>
    <row r="324" spans="1:8" ht="15.75" customHeight="1" x14ac:dyDescent="0.25">
      <c r="A324" s="32">
        <v>320</v>
      </c>
      <c r="B324" s="179"/>
      <c r="C324" s="179"/>
      <c r="D324" s="18" t="s">
        <v>670</v>
      </c>
      <c r="E324" s="26"/>
      <c r="F324" s="26"/>
      <c r="G324" s="26">
        <v>0.3</v>
      </c>
      <c r="H324" s="26"/>
    </row>
    <row r="325" spans="1:8" ht="15.75" customHeight="1" x14ac:dyDescent="0.25">
      <c r="A325" s="32">
        <v>321</v>
      </c>
      <c r="B325" s="179"/>
      <c r="C325" s="179"/>
      <c r="D325" s="18" t="s">
        <v>671</v>
      </c>
      <c r="E325" s="26"/>
      <c r="F325" s="26"/>
      <c r="G325" s="26">
        <v>0.3</v>
      </c>
      <c r="H325" s="26"/>
    </row>
    <row r="326" spans="1:8" ht="15.75" customHeight="1" x14ac:dyDescent="0.25">
      <c r="A326" s="32">
        <v>322</v>
      </c>
      <c r="B326" s="179"/>
      <c r="C326" s="179"/>
      <c r="D326" s="18" t="s">
        <v>672</v>
      </c>
      <c r="E326" s="26"/>
      <c r="F326" s="26"/>
      <c r="G326" s="26">
        <v>0.2</v>
      </c>
      <c r="H326" s="26"/>
    </row>
    <row r="327" spans="1:8" ht="15.75" customHeight="1" x14ac:dyDescent="0.25">
      <c r="A327" s="32">
        <v>323</v>
      </c>
      <c r="B327" s="179"/>
      <c r="C327" s="179"/>
      <c r="D327" s="18" t="s">
        <v>673</v>
      </c>
      <c r="E327" s="26"/>
      <c r="F327" s="26"/>
      <c r="G327" s="26">
        <v>0.5</v>
      </c>
      <c r="H327" s="26"/>
    </row>
    <row r="328" spans="1:8" ht="15.75" customHeight="1" x14ac:dyDescent="0.25">
      <c r="A328" s="32">
        <v>324</v>
      </c>
      <c r="B328" s="179"/>
      <c r="C328" s="179"/>
      <c r="D328" s="18" t="s">
        <v>674</v>
      </c>
      <c r="E328" s="26"/>
      <c r="F328" s="26"/>
      <c r="G328" s="26">
        <v>0.5</v>
      </c>
      <c r="H328" s="26"/>
    </row>
    <row r="329" spans="1:8" ht="15.75" customHeight="1" x14ac:dyDescent="0.25">
      <c r="A329" s="32">
        <v>325</v>
      </c>
      <c r="B329" s="179"/>
      <c r="C329" s="179"/>
      <c r="D329" s="18" t="s">
        <v>675</v>
      </c>
      <c r="E329" s="26"/>
      <c r="F329" s="26"/>
      <c r="G329" s="26">
        <v>0.3</v>
      </c>
      <c r="H329" s="26"/>
    </row>
    <row r="330" spans="1:8" ht="15.75" customHeight="1" x14ac:dyDescent="0.25">
      <c r="A330" s="32">
        <v>326</v>
      </c>
      <c r="B330" s="179"/>
      <c r="C330" s="179"/>
      <c r="D330" s="18" t="s">
        <v>676</v>
      </c>
      <c r="E330" s="26"/>
      <c r="F330" s="26"/>
      <c r="G330" s="26">
        <v>0.5</v>
      </c>
      <c r="H330" s="26"/>
    </row>
    <row r="331" spans="1:8" ht="15.75" customHeight="1" x14ac:dyDescent="0.25">
      <c r="A331" s="32">
        <v>327</v>
      </c>
      <c r="B331" s="179"/>
      <c r="C331" s="179"/>
      <c r="D331" s="18" t="s">
        <v>677</v>
      </c>
      <c r="E331" s="26"/>
      <c r="F331" s="26"/>
      <c r="G331" s="26">
        <v>0.5</v>
      </c>
      <c r="H331" s="26"/>
    </row>
    <row r="332" spans="1:8" ht="15.75" customHeight="1" x14ac:dyDescent="0.25">
      <c r="A332" s="32">
        <v>328</v>
      </c>
      <c r="B332" s="179"/>
      <c r="C332" s="179"/>
      <c r="D332" s="18" t="s">
        <v>678</v>
      </c>
      <c r="E332" s="26"/>
      <c r="F332" s="26"/>
      <c r="G332" s="26">
        <v>0.2</v>
      </c>
      <c r="H332" s="26"/>
    </row>
    <row r="333" spans="1:8" ht="15.75" customHeight="1" x14ac:dyDescent="0.25">
      <c r="A333" s="32">
        <v>329</v>
      </c>
      <c r="B333" s="179"/>
      <c r="C333" s="179"/>
      <c r="D333" s="18" t="s">
        <v>679</v>
      </c>
      <c r="E333" s="26"/>
      <c r="F333" s="26"/>
      <c r="G333" s="26">
        <v>0.5</v>
      </c>
      <c r="H333" s="26"/>
    </row>
    <row r="334" spans="1:8" ht="15.75" customHeight="1" x14ac:dyDescent="0.25">
      <c r="A334" s="32">
        <v>330</v>
      </c>
      <c r="B334" s="179"/>
      <c r="C334" s="179"/>
      <c r="D334" s="18" t="s">
        <v>680</v>
      </c>
      <c r="E334" s="26"/>
      <c r="F334" s="26"/>
      <c r="G334" s="26">
        <v>0.3</v>
      </c>
      <c r="H334" s="26"/>
    </row>
    <row r="335" spans="1:8" ht="15.75" customHeight="1" x14ac:dyDescent="0.25">
      <c r="A335" s="32">
        <v>331</v>
      </c>
      <c r="B335" s="179"/>
      <c r="C335" s="179"/>
      <c r="D335" s="18" t="s">
        <v>681</v>
      </c>
      <c r="E335" s="26"/>
      <c r="F335" s="26"/>
      <c r="G335" s="26">
        <v>0.3</v>
      </c>
      <c r="H335" s="26"/>
    </row>
    <row r="336" spans="1:8" ht="15.75" customHeight="1" x14ac:dyDescent="0.25">
      <c r="A336" s="32">
        <v>332</v>
      </c>
      <c r="B336" s="179"/>
      <c r="C336" s="179"/>
      <c r="D336" s="18" t="s">
        <v>682</v>
      </c>
      <c r="E336" s="26"/>
      <c r="F336" s="26"/>
      <c r="G336" s="26">
        <v>0.2</v>
      </c>
      <c r="H336" s="26"/>
    </row>
    <row r="337" spans="1:8" ht="15.75" customHeight="1" x14ac:dyDescent="0.25">
      <c r="A337" s="32">
        <v>333</v>
      </c>
      <c r="B337" s="179"/>
      <c r="C337" s="179"/>
      <c r="D337" s="18" t="s">
        <v>683</v>
      </c>
      <c r="E337" s="26"/>
      <c r="F337" s="26"/>
      <c r="G337" s="26">
        <v>0.5</v>
      </c>
      <c r="H337" s="26"/>
    </row>
    <row r="338" spans="1:8" ht="15.75" customHeight="1" x14ac:dyDescent="0.25">
      <c r="A338" s="32">
        <v>334</v>
      </c>
      <c r="B338" s="179"/>
      <c r="C338" s="179"/>
      <c r="D338" s="18" t="s">
        <v>684</v>
      </c>
      <c r="E338" s="26"/>
      <c r="F338" s="26"/>
      <c r="G338" s="26">
        <v>0.5</v>
      </c>
      <c r="H338" s="26"/>
    </row>
    <row r="339" spans="1:8" ht="15.75" customHeight="1" x14ac:dyDescent="0.25">
      <c r="A339" s="32">
        <v>335</v>
      </c>
      <c r="B339" s="180"/>
      <c r="C339" s="180"/>
      <c r="D339" s="18" t="s">
        <v>685</v>
      </c>
      <c r="E339" s="26"/>
      <c r="F339" s="26"/>
      <c r="G339" s="26">
        <v>0.5</v>
      </c>
      <c r="H339" s="26"/>
    </row>
    <row r="340" spans="1:8" ht="15.75" customHeight="1" x14ac:dyDescent="0.25">
      <c r="A340" s="32">
        <v>336</v>
      </c>
      <c r="B340" s="178" t="s">
        <v>74</v>
      </c>
      <c r="C340" s="178" t="s">
        <v>686</v>
      </c>
      <c r="D340" s="18" t="s">
        <v>687</v>
      </c>
      <c r="E340" s="26"/>
      <c r="F340" s="26"/>
      <c r="G340" s="26">
        <v>1</v>
      </c>
      <c r="H340" s="26"/>
    </row>
    <row r="341" spans="1:8" ht="15.75" customHeight="1" x14ac:dyDescent="0.25">
      <c r="A341" s="32">
        <v>337</v>
      </c>
      <c r="B341" s="179"/>
      <c r="C341" s="180"/>
      <c r="D341" s="18" t="s">
        <v>688</v>
      </c>
      <c r="E341" s="26"/>
      <c r="F341" s="26"/>
      <c r="G341" s="26">
        <v>2</v>
      </c>
      <c r="H341" s="26"/>
    </row>
    <row r="342" spans="1:8" ht="15.75" customHeight="1" x14ac:dyDescent="0.25">
      <c r="A342" s="32">
        <v>338</v>
      </c>
      <c r="B342" s="179"/>
      <c r="C342" s="178" t="s">
        <v>689</v>
      </c>
      <c r="D342" s="18" t="s">
        <v>690</v>
      </c>
      <c r="E342" s="26"/>
      <c r="F342" s="26"/>
      <c r="G342" s="26">
        <v>1</v>
      </c>
      <c r="H342" s="26"/>
    </row>
    <row r="343" spans="1:8" ht="15.75" customHeight="1" x14ac:dyDescent="0.25">
      <c r="A343" s="32">
        <v>339</v>
      </c>
      <c r="B343" s="179"/>
      <c r="C343" s="179"/>
      <c r="D343" s="18" t="s">
        <v>691</v>
      </c>
      <c r="E343" s="26"/>
      <c r="F343" s="26"/>
      <c r="G343" s="26">
        <v>1</v>
      </c>
      <c r="H343" s="26"/>
    </row>
    <row r="344" spans="1:8" ht="15.75" customHeight="1" x14ac:dyDescent="0.25">
      <c r="A344" s="32">
        <v>340</v>
      </c>
      <c r="B344" s="179"/>
      <c r="C344" s="179"/>
      <c r="D344" s="18" t="s">
        <v>692</v>
      </c>
      <c r="E344" s="26"/>
      <c r="F344" s="26"/>
      <c r="G344" s="26">
        <v>1</v>
      </c>
      <c r="H344" s="26"/>
    </row>
    <row r="345" spans="1:8" ht="15.75" customHeight="1" x14ac:dyDescent="0.25">
      <c r="A345" s="32">
        <v>341</v>
      </c>
      <c r="B345" s="179"/>
      <c r="C345" s="179"/>
      <c r="D345" s="18" t="s">
        <v>693</v>
      </c>
      <c r="E345" s="26"/>
      <c r="F345" s="26"/>
      <c r="G345" s="26">
        <v>1</v>
      </c>
      <c r="H345" s="26"/>
    </row>
    <row r="346" spans="1:8" ht="15.75" customHeight="1" x14ac:dyDescent="0.25">
      <c r="A346" s="32">
        <v>342</v>
      </c>
      <c r="B346" s="179"/>
      <c r="C346" s="179"/>
      <c r="D346" s="18" t="s">
        <v>694</v>
      </c>
      <c r="E346" s="26"/>
      <c r="F346" s="26"/>
      <c r="G346" s="26">
        <v>1.2</v>
      </c>
      <c r="H346" s="26"/>
    </row>
    <row r="347" spans="1:8" ht="15.75" customHeight="1" x14ac:dyDescent="0.25">
      <c r="A347" s="32">
        <v>343</v>
      </c>
      <c r="B347" s="179"/>
      <c r="C347" s="179"/>
      <c r="D347" s="18" t="s">
        <v>695</v>
      </c>
      <c r="E347" s="26"/>
      <c r="F347" s="26"/>
      <c r="G347" s="26">
        <v>1.1000000000000001</v>
      </c>
      <c r="H347" s="26"/>
    </row>
    <row r="348" spans="1:8" ht="15.75" customHeight="1" x14ac:dyDescent="0.25">
      <c r="A348" s="32">
        <v>344</v>
      </c>
      <c r="B348" s="179"/>
      <c r="C348" s="179"/>
      <c r="D348" s="18" t="s">
        <v>696</v>
      </c>
      <c r="E348" s="26"/>
      <c r="F348" s="26"/>
      <c r="G348" s="26">
        <v>1.3</v>
      </c>
      <c r="H348" s="26"/>
    </row>
    <row r="349" spans="1:8" ht="15.75" customHeight="1" x14ac:dyDescent="0.25">
      <c r="A349" s="32">
        <v>345</v>
      </c>
      <c r="B349" s="179"/>
      <c r="C349" s="179"/>
      <c r="D349" s="18" t="s">
        <v>697</v>
      </c>
      <c r="E349" s="26"/>
      <c r="F349" s="26"/>
      <c r="G349" s="26">
        <v>1.5</v>
      </c>
      <c r="H349" s="26"/>
    </row>
    <row r="350" spans="1:8" ht="15.75" customHeight="1" x14ac:dyDescent="0.25">
      <c r="A350" s="32">
        <v>346</v>
      </c>
      <c r="B350" s="179"/>
      <c r="C350" s="179"/>
      <c r="D350" s="18" t="s">
        <v>698</v>
      </c>
      <c r="E350" s="26"/>
      <c r="F350" s="26"/>
      <c r="G350" s="26">
        <v>1</v>
      </c>
      <c r="H350" s="26"/>
    </row>
    <row r="351" spans="1:8" ht="15.75" customHeight="1" x14ac:dyDescent="0.25">
      <c r="A351" s="32">
        <v>347</v>
      </c>
      <c r="B351" s="179"/>
      <c r="C351" s="180"/>
      <c r="D351" s="18" t="s">
        <v>699</v>
      </c>
      <c r="E351" s="26"/>
      <c r="F351" s="26"/>
      <c r="G351" s="26">
        <v>1.4</v>
      </c>
      <c r="H351" s="26"/>
    </row>
    <row r="352" spans="1:8" ht="15.75" customHeight="1" x14ac:dyDescent="0.25">
      <c r="A352" s="32">
        <v>348</v>
      </c>
      <c r="B352" s="179"/>
      <c r="C352" s="178" t="s">
        <v>700</v>
      </c>
      <c r="D352" s="18" t="s">
        <v>701</v>
      </c>
      <c r="E352" s="26"/>
      <c r="F352" s="26"/>
      <c r="G352" s="26">
        <v>0.05</v>
      </c>
      <c r="H352" s="26"/>
    </row>
    <row r="353" spans="1:8" ht="15.75" customHeight="1" x14ac:dyDescent="0.25">
      <c r="A353" s="32">
        <v>349</v>
      </c>
      <c r="B353" s="179"/>
      <c r="C353" s="179"/>
      <c r="D353" s="18" t="s">
        <v>702</v>
      </c>
      <c r="E353" s="26"/>
      <c r="F353" s="26"/>
      <c r="G353" s="26">
        <v>0.1</v>
      </c>
      <c r="H353" s="26"/>
    </row>
    <row r="354" spans="1:8" ht="15.75" customHeight="1" x14ac:dyDescent="0.25">
      <c r="A354" s="32">
        <v>350</v>
      </c>
      <c r="B354" s="179"/>
      <c r="C354" s="179"/>
      <c r="D354" s="18" t="s">
        <v>703</v>
      </c>
      <c r="E354" s="26"/>
      <c r="F354" s="26"/>
      <c r="G354" s="26">
        <v>0.1</v>
      </c>
      <c r="H354" s="26"/>
    </row>
    <row r="355" spans="1:8" ht="15.75" customHeight="1" x14ac:dyDescent="0.25">
      <c r="A355" s="32">
        <v>351</v>
      </c>
      <c r="B355" s="179"/>
      <c r="C355" s="179"/>
      <c r="D355" s="18" t="s">
        <v>704</v>
      </c>
      <c r="E355" s="26"/>
      <c r="F355" s="26"/>
      <c r="G355" s="26">
        <v>0.1</v>
      </c>
      <c r="H355" s="26"/>
    </row>
    <row r="356" spans="1:8" ht="15.75" customHeight="1" x14ac:dyDescent="0.25">
      <c r="A356" s="32">
        <v>352</v>
      </c>
      <c r="B356" s="179"/>
      <c r="C356" s="179"/>
      <c r="D356" s="18" t="s">
        <v>705</v>
      </c>
      <c r="E356" s="26"/>
      <c r="F356" s="26"/>
      <c r="G356" s="26">
        <v>0.08</v>
      </c>
      <c r="H356" s="26"/>
    </row>
    <row r="357" spans="1:8" ht="15.75" customHeight="1" x14ac:dyDescent="0.25">
      <c r="A357" s="32">
        <v>353</v>
      </c>
      <c r="B357" s="179"/>
      <c r="C357" s="179"/>
      <c r="D357" s="18" t="s">
        <v>706</v>
      </c>
      <c r="E357" s="26"/>
      <c r="F357" s="26"/>
      <c r="G357" s="26">
        <v>0.15</v>
      </c>
      <c r="H357" s="26"/>
    </row>
    <row r="358" spans="1:8" ht="15.75" customHeight="1" x14ac:dyDescent="0.25">
      <c r="A358" s="32">
        <v>354</v>
      </c>
      <c r="B358" s="179"/>
      <c r="C358" s="179"/>
      <c r="D358" s="18" t="s">
        <v>707</v>
      </c>
      <c r="E358" s="26"/>
      <c r="F358" s="26"/>
      <c r="G358" s="26">
        <v>0.15</v>
      </c>
      <c r="H358" s="26"/>
    </row>
    <row r="359" spans="1:8" ht="15.75" customHeight="1" x14ac:dyDescent="0.25">
      <c r="A359" s="32">
        <v>355</v>
      </c>
      <c r="B359" s="179"/>
      <c r="C359" s="179"/>
      <c r="D359" s="18" t="s">
        <v>708</v>
      </c>
      <c r="E359" s="26"/>
      <c r="F359" s="26"/>
      <c r="G359" s="26">
        <v>0.12</v>
      </c>
      <c r="H359" s="26"/>
    </row>
    <row r="360" spans="1:8" ht="15.75" customHeight="1" x14ac:dyDescent="0.25">
      <c r="A360" s="32">
        <v>356</v>
      </c>
      <c r="B360" s="179"/>
      <c r="C360" s="179"/>
      <c r="D360" s="18" t="s">
        <v>709</v>
      </c>
      <c r="E360" s="26"/>
      <c r="F360" s="26"/>
      <c r="G360" s="26">
        <v>0.1</v>
      </c>
      <c r="H360" s="26"/>
    </row>
    <row r="361" spans="1:8" ht="15.75" customHeight="1" x14ac:dyDescent="0.25">
      <c r="A361" s="32">
        <v>357</v>
      </c>
      <c r="B361" s="179"/>
      <c r="C361" s="179"/>
      <c r="D361" s="18" t="s">
        <v>710</v>
      </c>
      <c r="E361" s="26"/>
      <c r="F361" s="26"/>
      <c r="G361" s="26">
        <v>0.1</v>
      </c>
      <c r="H361" s="26"/>
    </row>
    <row r="362" spans="1:8" ht="15.75" customHeight="1" x14ac:dyDescent="0.25">
      <c r="A362" s="32">
        <v>358</v>
      </c>
      <c r="B362" s="179"/>
      <c r="C362" s="179"/>
      <c r="D362" s="18" t="s">
        <v>711</v>
      </c>
      <c r="E362" s="26"/>
      <c r="F362" s="26"/>
      <c r="G362" s="26">
        <v>0.05</v>
      </c>
      <c r="H362" s="26"/>
    </row>
    <row r="363" spans="1:8" ht="15.75" customHeight="1" x14ac:dyDescent="0.25">
      <c r="A363" s="32">
        <v>359</v>
      </c>
      <c r="B363" s="179"/>
      <c r="C363" s="179"/>
      <c r="D363" s="18" t="s">
        <v>435</v>
      </c>
      <c r="E363" s="26"/>
      <c r="F363" s="26"/>
      <c r="G363" s="26">
        <v>0.1</v>
      </c>
      <c r="H363" s="26"/>
    </row>
    <row r="364" spans="1:8" ht="15.75" customHeight="1" x14ac:dyDescent="0.25">
      <c r="A364" s="32">
        <v>360</v>
      </c>
      <c r="B364" s="179"/>
      <c r="C364" s="179"/>
      <c r="D364" s="18" t="s">
        <v>562</v>
      </c>
      <c r="E364" s="26"/>
      <c r="F364" s="26"/>
      <c r="G364" s="26">
        <v>0.1</v>
      </c>
      <c r="H364" s="26"/>
    </row>
    <row r="365" spans="1:8" ht="15.75" customHeight="1" x14ac:dyDescent="0.25">
      <c r="A365" s="32">
        <v>361</v>
      </c>
      <c r="B365" s="179"/>
      <c r="C365" s="179"/>
      <c r="D365" s="18" t="s">
        <v>712</v>
      </c>
      <c r="E365" s="26"/>
      <c r="F365" s="26"/>
      <c r="G365" s="26">
        <v>0.15</v>
      </c>
      <c r="H365" s="26"/>
    </row>
    <row r="366" spans="1:8" ht="15.75" customHeight="1" x14ac:dyDescent="0.25">
      <c r="A366" s="32">
        <v>362</v>
      </c>
      <c r="B366" s="179"/>
      <c r="C366" s="179"/>
      <c r="D366" s="18" t="s">
        <v>713</v>
      </c>
      <c r="E366" s="26"/>
      <c r="F366" s="26"/>
      <c r="G366" s="26">
        <v>0.05</v>
      </c>
      <c r="H366" s="26"/>
    </row>
    <row r="367" spans="1:8" ht="15.75" customHeight="1" x14ac:dyDescent="0.25">
      <c r="A367" s="32">
        <v>363</v>
      </c>
      <c r="B367" s="179"/>
      <c r="C367" s="179"/>
      <c r="D367" s="18" t="s">
        <v>714</v>
      </c>
      <c r="E367" s="26"/>
      <c r="F367" s="26"/>
      <c r="G367" s="26">
        <v>0.15</v>
      </c>
      <c r="H367" s="26"/>
    </row>
    <row r="368" spans="1:8" ht="15.75" customHeight="1" x14ac:dyDescent="0.25">
      <c r="A368" s="32">
        <v>364</v>
      </c>
      <c r="B368" s="179"/>
      <c r="C368" s="179"/>
      <c r="D368" s="18" t="s">
        <v>715</v>
      </c>
      <c r="E368" s="26"/>
      <c r="F368" s="26"/>
      <c r="G368" s="26">
        <v>0.15</v>
      </c>
      <c r="H368" s="26"/>
    </row>
    <row r="369" spans="1:8" ht="15.75" customHeight="1" x14ac:dyDescent="0.25">
      <c r="A369" s="32">
        <v>365</v>
      </c>
      <c r="B369" s="179"/>
      <c r="C369" s="179"/>
      <c r="D369" s="18" t="s">
        <v>716</v>
      </c>
      <c r="E369" s="26"/>
      <c r="F369" s="26"/>
      <c r="G369" s="26">
        <v>0.1</v>
      </c>
      <c r="H369" s="26"/>
    </row>
    <row r="370" spans="1:8" ht="15.75" customHeight="1" x14ac:dyDescent="0.25">
      <c r="A370" s="32">
        <v>366</v>
      </c>
      <c r="B370" s="179"/>
      <c r="C370" s="179"/>
      <c r="D370" s="18" t="s">
        <v>717</v>
      </c>
      <c r="E370" s="26"/>
      <c r="F370" s="26"/>
      <c r="G370" s="26">
        <v>0.1</v>
      </c>
      <c r="H370" s="26"/>
    </row>
    <row r="371" spans="1:8" ht="15.75" customHeight="1" x14ac:dyDescent="0.25">
      <c r="A371" s="32">
        <v>367</v>
      </c>
      <c r="B371" s="179"/>
      <c r="C371" s="179"/>
      <c r="D371" s="18" t="s">
        <v>718</v>
      </c>
      <c r="E371" s="26"/>
      <c r="F371" s="26"/>
      <c r="G371" s="26">
        <v>0.1</v>
      </c>
      <c r="H371" s="26"/>
    </row>
    <row r="372" spans="1:8" ht="15.75" customHeight="1" x14ac:dyDescent="0.25">
      <c r="A372" s="32">
        <v>368</v>
      </c>
      <c r="B372" s="179"/>
      <c r="C372" s="179"/>
      <c r="D372" s="18" t="s">
        <v>452</v>
      </c>
      <c r="E372" s="26"/>
      <c r="F372" s="26"/>
      <c r="G372" s="26">
        <v>0.1</v>
      </c>
      <c r="H372" s="26"/>
    </row>
    <row r="373" spans="1:8" ht="15.75" customHeight="1" x14ac:dyDescent="0.25">
      <c r="A373" s="32">
        <v>369</v>
      </c>
      <c r="B373" s="179"/>
      <c r="C373" s="179"/>
      <c r="D373" s="18" t="s">
        <v>452</v>
      </c>
      <c r="E373" s="26"/>
      <c r="F373" s="26"/>
      <c r="G373" s="26">
        <v>0.1</v>
      </c>
      <c r="H373" s="26"/>
    </row>
    <row r="374" spans="1:8" ht="15.75" customHeight="1" x14ac:dyDescent="0.25">
      <c r="A374" s="32">
        <v>370</v>
      </c>
      <c r="B374" s="179"/>
      <c r="C374" s="179"/>
      <c r="D374" s="18" t="s">
        <v>719</v>
      </c>
      <c r="E374" s="26"/>
      <c r="F374" s="26"/>
      <c r="G374" s="26">
        <v>0.08</v>
      </c>
      <c r="H374" s="26"/>
    </row>
    <row r="375" spans="1:8" ht="15.75" customHeight="1" x14ac:dyDescent="0.25">
      <c r="A375" s="32">
        <v>371</v>
      </c>
      <c r="B375" s="179"/>
      <c r="C375" s="179"/>
      <c r="D375" s="18" t="s">
        <v>720</v>
      </c>
      <c r="E375" s="26"/>
      <c r="F375" s="26"/>
      <c r="G375" s="26">
        <v>0.05</v>
      </c>
      <c r="H375" s="26"/>
    </row>
    <row r="376" spans="1:8" ht="15.75" customHeight="1" x14ac:dyDescent="0.25">
      <c r="A376" s="32">
        <v>372</v>
      </c>
      <c r="B376" s="179"/>
      <c r="C376" s="179"/>
      <c r="D376" s="18" t="s">
        <v>721</v>
      </c>
      <c r="E376" s="26"/>
      <c r="F376" s="26"/>
      <c r="G376" s="26">
        <v>0.15</v>
      </c>
      <c r="H376" s="26"/>
    </row>
    <row r="377" spans="1:8" ht="15.75" customHeight="1" x14ac:dyDescent="0.25">
      <c r="A377" s="32">
        <v>373</v>
      </c>
      <c r="B377" s="179"/>
      <c r="C377" s="179"/>
      <c r="D377" s="18" t="s">
        <v>722</v>
      </c>
      <c r="E377" s="26"/>
      <c r="F377" s="26"/>
      <c r="G377" s="26">
        <v>0.1</v>
      </c>
      <c r="H377" s="26"/>
    </row>
    <row r="378" spans="1:8" ht="15.75" customHeight="1" x14ac:dyDescent="0.25">
      <c r="A378" s="32">
        <v>374</v>
      </c>
      <c r="B378" s="179"/>
      <c r="C378" s="179"/>
      <c r="D378" s="18" t="s">
        <v>723</v>
      </c>
      <c r="E378" s="26"/>
      <c r="F378" s="26"/>
      <c r="G378" s="26">
        <v>0.1</v>
      </c>
      <c r="H378" s="26"/>
    </row>
    <row r="379" spans="1:8" ht="15.75" customHeight="1" x14ac:dyDescent="0.25">
      <c r="A379" s="32">
        <v>375</v>
      </c>
      <c r="B379" s="179"/>
      <c r="C379" s="179"/>
      <c r="D379" s="18" t="s">
        <v>724</v>
      </c>
      <c r="E379" s="26"/>
      <c r="F379" s="26"/>
      <c r="G379" s="26">
        <v>0.05</v>
      </c>
      <c r="H379" s="26"/>
    </row>
    <row r="380" spans="1:8" ht="15.75" customHeight="1" x14ac:dyDescent="0.25">
      <c r="A380" s="32">
        <v>376</v>
      </c>
      <c r="B380" s="179"/>
      <c r="C380" s="179"/>
      <c r="D380" s="18" t="s">
        <v>725</v>
      </c>
      <c r="E380" s="26"/>
      <c r="F380" s="26"/>
      <c r="G380" s="26">
        <v>0.1</v>
      </c>
      <c r="H380" s="26"/>
    </row>
    <row r="381" spans="1:8" ht="15.75" customHeight="1" x14ac:dyDescent="0.25">
      <c r="A381" s="32">
        <v>377</v>
      </c>
      <c r="B381" s="179"/>
      <c r="C381" s="180"/>
      <c r="D381" s="18" t="s">
        <v>620</v>
      </c>
      <c r="E381" s="26"/>
      <c r="F381" s="26"/>
      <c r="G381" s="26">
        <v>0.1</v>
      </c>
      <c r="H381" s="26"/>
    </row>
    <row r="382" spans="1:8" ht="15.75" customHeight="1" x14ac:dyDescent="0.25">
      <c r="A382" s="32">
        <v>378</v>
      </c>
      <c r="B382" s="179"/>
      <c r="C382" s="178" t="s">
        <v>726</v>
      </c>
      <c r="D382" s="18" t="s">
        <v>727</v>
      </c>
      <c r="E382" s="26"/>
      <c r="F382" s="26"/>
      <c r="G382" s="26">
        <v>0.01</v>
      </c>
      <c r="H382" s="26"/>
    </row>
    <row r="383" spans="1:8" ht="15.75" customHeight="1" x14ac:dyDescent="0.25">
      <c r="A383" s="32">
        <v>379</v>
      </c>
      <c r="B383" s="179"/>
      <c r="C383" s="179"/>
      <c r="D383" s="18" t="s">
        <v>728</v>
      </c>
      <c r="E383" s="26"/>
      <c r="F383" s="26"/>
      <c r="G383" s="26">
        <v>0.01</v>
      </c>
      <c r="H383" s="26"/>
    </row>
    <row r="384" spans="1:8" ht="15.75" customHeight="1" x14ac:dyDescent="0.25">
      <c r="A384" s="32">
        <v>380</v>
      </c>
      <c r="B384" s="179"/>
      <c r="C384" s="179"/>
      <c r="D384" s="18" t="s">
        <v>729</v>
      </c>
      <c r="E384" s="26"/>
      <c r="F384" s="26"/>
      <c r="G384" s="26">
        <v>0.01</v>
      </c>
      <c r="H384" s="26"/>
    </row>
    <row r="385" spans="1:8" ht="15.75" customHeight="1" x14ac:dyDescent="0.25">
      <c r="A385" s="32">
        <v>381</v>
      </c>
      <c r="B385" s="179"/>
      <c r="C385" s="179"/>
      <c r="D385" s="18" t="s">
        <v>730</v>
      </c>
      <c r="E385" s="26"/>
      <c r="F385" s="26"/>
      <c r="G385" s="26">
        <v>0.02</v>
      </c>
      <c r="H385" s="26"/>
    </row>
    <row r="386" spans="1:8" ht="15.75" customHeight="1" x14ac:dyDescent="0.25">
      <c r="A386" s="32">
        <v>382</v>
      </c>
      <c r="B386" s="179"/>
      <c r="C386" s="179"/>
      <c r="D386" s="18" t="s">
        <v>731</v>
      </c>
      <c r="E386" s="26"/>
      <c r="F386" s="26"/>
      <c r="G386" s="26">
        <v>0.01</v>
      </c>
      <c r="H386" s="26"/>
    </row>
    <row r="387" spans="1:8" ht="15.75" customHeight="1" x14ac:dyDescent="0.25">
      <c r="A387" s="32">
        <v>383</v>
      </c>
      <c r="B387" s="179"/>
      <c r="C387" s="179"/>
      <c r="D387" s="18" t="s">
        <v>732</v>
      </c>
      <c r="E387" s="26"/>
      <c r="F387" s="26"/>
      <c r="G387" s="26">
        <v>0.02</v>
      </c>
      <c r="H387" s="26"/>
    </row>
    <row r="388" spans="1:8" ht="15.75" customHeight="1" x14ac:dyDescent="0.25">
      <c r="A388" s="32">
        <v>384</v>
      </c>
      <c r="B388" s="179"/>
      <c r="C388" s="179"/>
      <c r="D388" s="18" t="s">
        <v>733</v>
      </c>
      <c r="E388" s="26"/>
      <c r="F388" s="26"/>
      <c r="G388" s="26">
        <v>0.01</v>
      </c>
      <c r="H388" s="26"/>
    </row>
    <row r="389" spans="1:8" ht="15.75" customHeight="1" x14ac:dyDescent="0.25">
      <c r="A389" s="32">
        <v>385</v>
      </c>
      <c r="B389" s="179"/>
      <c r="C389" s="179"/>
      <c r="D389" s="18" t="s">
        <v>734</v>
      </c>
      <c r="E389" s="26"/>
      <c r="F389" s="26"/>
      <c r="G389" s="26">
        <v>0.02</v>
      </c>
      <c r="H389" s="26"/>
    </row>
    <row r="390" spans="1:8" ht="15.75" customHeight="1" x14ac:dyDescent="0.25">
      <c r="A390" s="32">
        <v>386</v>
      </c>
      <c r="B390" s="179"/>
      <c r="C390" s="179"/>
      <c r="D390" s="18" t="s">
        <v>735</v>
      </c>
      <c r="E390" s="26"/>
      <c r="F390" s="26"/>
      <c r="G390" s="26">
        <v>0.02</v>
      </c>
      <c r="H390" s="26"/>
    </row>
    <row r="391" spans="1:8" ht="15.75" customHeight="1" x14ac:dyDescent="0.25">
      <c r="A391" s="32">
        <v>387</v>
      </c>
      <c r="B391" s="179"/>
      <c r="C391" s="180"/>
      <c r="D391" s="18" t="s">
        <v>736</v>
      </c>
      <c r="E391" s="26"/>
      <c r="F391" s="26"/>
      <c r="G391" s="26">
        <v>0.01</v>
      </c>
      <c r="H391" s="26"/>
    </row>
    <row r="392" spans="1:8" ht="15.75" customHeight="1" x14ac:dyDescent="0.25">
      <c r="A392" s="32">
        <v>388</v>
      </c>
      <c r="B392" s="179"/>
      <c r="C392" s="178" t="s">
        <v>737</v>
      </c>
      <c r="D392" s="18" t="s">
        <v>738</v>
      </c>
      <c r="E392" s="26"/>
      <c r="F392" s="26"/>
      <c r="G392" s="26">
        <v>0.5</v>
      </c>
      <c r="H392" s="26"/>
    </row>
    <row r="393" spans="1:8" ht="15.75" customHeight="1" x14ac:dyDescent="0.25">
      <c r="A393" s="32">
        <v>389</v>
      </c>
      <c r="B393" s="179"/>
      <c r="C393" s="179"/>
      <c r="D393" s="18" t="s">
        <v>739</v>
      </c>
      <c r="E393" s="26"/>
      <c r="F393" s="26"/>
      <c r="G393" s="26">
        <v>1</v>
      </c>
      <c r="H393" s="26"/>
    </row>
    <row r="394" spans="1:8" ht="15.75" customHeight="1" x14ac:dyDescent="0.25">
      <c r="A394" s="32">
        <v>390</v>
      </c>
      <c r="B394" s="179"/>
      <c r="C394" s="179"/>
      <c r="D394" s="18" t="s">
        <v>740</v>
      </c>
      <c r="E394" s="26"/>
      <c r="F394" s="26"/>
      <c r="G394" s="26">
        <v>0.5</v>
      </c>
      <c r="H394" s="26"/>
    </row>
    <row r="395" spans="1:8" ht="15.75" customHeight="1" x14ac:dyDescent="0.25">
      <c r="A395" s="32">
        <v>391</v>
      </c>
      <c r="B395" s="179"/>
      <c r="C395" s="179"/>
      <c r="D395" s="18" t="s">
        <v>741</v>
      </c>
      <c r="E395" s="26"/>
      <c r="F395" s="26"/>
      <c r="G395" s="26">
        <v>0.5</v>
      </c>
      <c r="H395" s="26"/>
    </row>
    <row r="396" spans="1:8" ht="15.75" customHeight="1" x14ac:dyDescent="0.25">
      <c r="A396" s="32">
        <v>392</v>
      </c>
      <c r="B396" s="179"/>
      <c r="C396" s="179"/>
      <c r="D396" s="18" t="s">
        <v>742</v>
      </c>
      <c r="E396" s="26"/>
      <c r="F396" s="26"/>
      <c r="G396" s="26">
        <v>0.61</v>
      </c>
      <c r="H396" s="26"/>
    </row>
    <row r="397" spans="1:8" ht="15.75" customHeight="1" x14ac:dyDescent="0.25">
      <c r="A397" s="32">
        <v>393</v>
      </c>
      <c r="B397" s="179"/>
      <c r="C397" s="179"/>
      <c r="D397" s="18" t="s">
        <v>743</v>
      </c>
      <c r="E397" s="26"/>
      <c r="F397" s="26"/>
      <c r="G397" s="26">
        <v>0.5</v>
      </c>
      <c r="H397" s="26"/>
    </row>
    <row r="398" spans="1:8" ht="15.75" customHeight="1" x14ac:dyDescent="0.25">
      <c r="A398" s="32">
        <v>394</v>
      </c>
      <c r="B398" s="179"/>
      <c r="C398" s="179"/>
      <c r="D398" s="18" t="s">
        <v>744</v>
      </c>
      <c r="E398" s="26"/>
      <c r="F398" s="26"/>
      <c r="G398" s="26">
        <v>0.5</v>
      </c>
      <c r="H398" s="26"/>
    </row>
    <row r="399" spans="1:8" ht="15.75" customHeight="1" x14ac:dyDescent="0.25">
      <c r="A399" s="32">
        <v>395</v>
      </c>
      <c r="B399" s="179"/>
      <c r="C399" s="179"/>
      <c r="D399" s="18" t="s">
        <v>745</v>
      </c>
      <c r="E399" s="26"/>
      <c r="F399" s="26"/>
      <c r="G399" s="26">
        <v>0.5</v>
      </c>
      <c r="H399" s="26"/>
    </row>
    <row r="400" spans="1:8" ht="15.75" customHeight="1" x14ac:dyDescent="0.25">
      <c r="A400" s="32">
        <v>396</v>
      </c>
      <c r="B400" s="179"/>
      <c r="C400" s="179"/>
      <c r="D400" s="18" t="s">
        <v>746</v>
      </c>
      <c r="E400" s="26"/>
      <c r="F400" s="26"/>
      <c r="G400" s="26">
        <v>0.5</v>
      </c>
      <c r="H400" s="26"/>
    </row>
    <row r="401" spans="1:8" ht="15.75" customHeight="1" x14ac:dyDescent="0.25">
      <c r="A401" s="32">
        <v>397</v>
      </c>
      <c r="B401" s="179"/>
      <c r="C401" s="179"/>
      <c r="D401" s="18" t="s">
        <v>747</v>
      </c>
      <c r="E401" s="26"/>
      <c r="F401" s="26"/>
      <c r="G401" s="26">
        <v>0.5</v>
      </c>
      <c r="H401" s="26"/>
    </row>
    <row r="402" spans="1:8" ht="15.75" customHeight="1" x14ac:dyDescent="0.25">
      <c r="A402" s="32">
        <v>398</v>
      </c>
      <c r="B402" s="179"/>
      <c r="C402" s="179"/>
      <c r="D402" s="18" t="s">
        <v>748</v>
      </c>
      <c r="E402" s="26"/>
      <c r="F402" s="26"/>
      <c r="G402" s="26">
        <v>0.5</v>
      </c>
      <c r="H402" s="26"/>
    </row>
    <row r="403" spans="1:8" ht="15.75" customHeight="1" x14ac:dyDescent="0.25">
      <c r="A403" s="32">
        <v>399</v>
      </c>
      <c r="B403" s="179"/>
      <c r="C403" s="179"/>
      <c r="D403" s="18" t="s">
        <v>749</v>
      </c>
      <c r="E403" s="26"/>
      <c r="F403" s="26"/>
      <c r="G403" s="26">
        <v>0.5</v>
      </c>
      <c r="H403" s="26"/>
    </row>
    <row r="404" spans="1:8" ht="15.75" customHeight="1" x14ac:dyDescent="0.25">
      <c r="A404" s="32">
        <v>400</v>
      </c>
      <c r="B404" s="179"/>
      <c r="C404" s="179"/>
      <c r="D404" s="18" t="s">
        <v>750</v>
      </c>
      <c r="E404" s="26"/>
      <c r="F404" s="26"/>
      <c r="G404" s="26">
        <v>0.5</v>
      </c>
      <c r="H404" s="26"/>
    </row>
    <row r="405" spans="1:8" ht="15.75" customHeight="1" x14ac:dyDescent="0.25">
      <c r="A405" s="32">
        <v>401</v>
      </c>
      <c r="B405" s="179"/>
      <c r="C405" s="179"/>
      <c r="D405" s="18" t="s">
        <v>751</v>
      </c>
      <c r="E405" s="26"/>
      <c r="F405" s="26"/>
      <c r="G405" s="26">
        <v>0.5</v>
      </c>
      <c r="H405" s="26"/>
    </row>
    <row r="406" spans="1:8" ht="15.75" customHeight="1" x14ac:dyDescent="0.25">
      <c r="A406" s="32">
        <v>402</v>
      </c>
      <c r="B406" s="179"/>
      <c r="C406" s="179"/>
      <c r="D406" s="18" t="s">
        <v>752</v>
      </c>
      <c r="E406" s="26"/>
      <c r="F406" s="26"/>
      <c r="G406" s="26">
        <v>0.25</v>
      </c>
      <c r="H406" s="26"/>
    </row>
    <row r="407" spans="1:8" ht="15.75" customHeight="1" x14ac:dyDescent="0.25">
      <c r="A407" s="32">
        <v>403</v>
      </c>
      <c r="B407" s="179"/>
      <c r="C407" s="179"/>
      <c r="D407" s="18" t="s">
        <v>753</v>
      </c>
      <c r="E407" s="26"/>
      <c r="F407" s="26"/>
      <c r="G407" s="26">
        <v>0.75</v>
      </c>
      <c r="H407" s="26"/>
    </row>
    <row r="408" spans="1:8" ht="15.75" customHeight="1" x14ac:dyDescent="0.25">
      <c r="A408" s="32">
        <v>404</v>
      </c>
      <c r="B408" s="179"/>
      <c r="C408" s="179"/>
      <c r="D408" s="18" t="s">
        <v>754</v>
      </c>
      <c r="E408" s="26"/>
      <c r="F408" s="26"/>
      <c r="G408" s="26">
        <v>0.5</v>
      </c>
      <c r="H408" s="26"/>
    </row>
    <row r="409" spans="1:8" ht="15.75" customHeight="1" x14ac:dyDescent="0.25">
      <c r="A409" s="32">
        <v>405</v>
      </c>
      <c r="B409" s="179"/>
      <c r="C409" s="179"/>
      <c r="D409" s="18" t="s">
        <v>755</v>
      </c>
      <c r="E409" s="26"/>
      <c r="F409" s="26"/>
      <c r="G409" s="26" t="s">
        <v>756</v>
      </c>
      <c r="H409" s="26"/>
    </row>
    <row r="410" spans="1:8" ht="15.75" customHeight="1" x14ac:dyDescent="0.25">
      <c r="A410" s="32">
        <v>406</v>
      </c>
      <c r="B410" s="179"/>
      <c r="C410" s="179"/>
      <c r="D410" s="18" t="s">
        <v>696</v>
      </c>
      <c r="E410" s="26"/>
      <c r="F410" s="26"/>
      <c r="G410" s="26">
        <v>0.5</v>
      </c>
      <c r="H410" s="26"/>
    </row>
    <row r="411" spans="1:8" ht="15.75" customHeight="1" x14ac:dyDescent="0.25">
      <c r="A411" s="32">
        <v>407</v>
      </c>
      <c r="B411" s="179"/>
      <c r="C411" s="179"/>
      <c r="D411" s="18" t="s">
        <v>757</v>
      </c>
      <c r="E411" s="26"/>
      <c r="F411" s="26"/>
      <c r="G411" s="26">
        <v>0.5</v>
      </c>
      <c r="H411" s="26"/>
    </row>
    <row r="412" spans="1:8" ht="15.75" customHeight="1" x14ac:dyDescent="0.25">
      <c r="A412" s="32">
        <v>408</v>
      </c>
      <c r="B412" s="179"/>
      <c r="C412" s="179"/>
      <c r="D412" s="18" t="s">
        <v>758</v>
      </c>
      <c r="E412" s="26"/>
      <c r="F412" s="26"/>
      <c r="G412" s="26">
        <v>0.5</v>
      </c>
      <c r="H412" s="26"/>
    </row>
    <row r="413" spans="1:8" ht="15.75" customHeight="1" x14ac:dyDescent="0.25">
      <c r="A413" s="32">
        <v>409</v>
      </c>
      <c r="B413" s="179"/>
      <c r="C413" s="179"/>
      <c r="D413" s="18" t="s">
        <v>759</v>
      </c>
      <c r="E413" s="26"/>
      <c r="F413" s="26"/>
      <c r="G413" s="26">
        <v>0.5</v>
      </c>
      <c r="H413" s="26"/>
    </row>
    <row r="414" spans="1:8" ht="15.75" customHeight="1" x14ac:dyDescent="0.25">
      <c r="A414" s="32">
        <v>410</v>
      </c>
      <c r="B414" s="179"/>
      <c r="C414" s="179"/>
      <c r="D414" s="18" t="s">
        <v>760</v>
      </c>
      <c r="E414" s="26"/>
      <c r="F414" s="26"/>
      <c r="G414" s="26">
        <v>0.5</v>
      </c>
      <c r="H414" s="26"/>
    </row>
    <row r="415" spans="1:8" ht="15.75" customHeight="1" x14ac:dyDescent="0.25">
      <c r="A415" s="32">
        <v>411</v>
      </c>
      <c r="B415" s="179"/>
      <c r="C415" s="179"/>
      <c r="D415" s="18" t="s">
        <v>761</v>
      </c>
      <c r="E415" s="26"/>
      <c r="F415" s="26"/>
      <c r="G415" s="26">
        <v>0.25</v>
      </c>
      <c r="H415" s="26"/>
    </row>
    <row r="416" spans="1:8" ht="15.75" customHeight="1" x14ac:dyDescent="0.25">
      <c r="A416" s="32">
        <v>412</v>
      </c>
      <c r="B416" s="179"/>
      <c r="C416" s="179"/>
      <c r="D416" s="18" t="s">
        <v>762</v>
      </c>
      <c r="E416" s="26"/>
      <c r="F416" s="26"/>
      <c r="G416" s="26">
        <v>1</v>
      </c>
      <c r="H416" s="26"/>
    </row>
    <row r="417" spans="1:8" ht="15.75" customHeight="1" x14ac:dyDescent="0.25">
      <c r="A417" s="32">
        <v>413</v>
      </c>
      <c r="B417" s="179"/>
      <c r="C417" s="179"/>
      <c r="D417" s="18" t="s">
        <v>763</v>
      </c>
      <c r="E417" s="26"/>
      <c r="F417" s="26"/>
      <c r="G417" s="26">
        <v>1</v>
      </c>
      <c r="H417" s="26"/>
    </row>
    <row r="418" spans="1:8" ht="15.75" customHeight="1" x14ac:dyDescent="0.25">
      <c r="A418" s="32">
        <v>414</v>
      </c>
      <c r="B418" s="179"/>
      <c r="C418" s="180"/>
      <c r="D418" s="18" t="s">
        <v>764</v>
      </c>
      <c r="E418" s="26"/>
      <c r="F418" s="26"/>
      <c r="G418" s="26">
        <v>0.5</v>
      </c>
      <c r="H418" s="26"/>
    </row>
    <row r="419" spans="1:8" ht="15.75" customHeight="1" x14ac:dyDescent="0.25">
      <c r="A419" s="32">
        <v>415</v>
      </c>
      <c r="B419" s="179"/>
      <c r="C419" s="178" t="s">
        <v>765</v>
      </c>
      <c r="D419" s="18" t="s">
        <v>766</v>
      </c>
      <c r="E419" s="26"/>
      <c r="F419" s="26"/>
      <c r="G419" s="26">
        <v>1.5</v>
      </c>
      <c r="H419" s="26"/>
    </row>
    <row r="420" spans="1:8" ht="15.75" customHeight="1" x14ac:dyDescent="0.25">
      <c r="A420" s="32">
        <v>416</v>
      </c>
      <c r="B420" s="179"/>
      <c r="C420" s="179"/>
      <c r="D420" s="18" t="s">
        <v>767</v>
      </c>
      <c r="E420" s="26"/>
      <c r="F420" s="26"/>
      <c r="G420" s="26">
        <v>1</v>
      </c>
      <c r="H420" s="26"/>
    </row>
    <row r="421" spans="1:8" ht="15.75" customHeight="1" x14ac:dyDescent="0.25">
      <c r="A421" s="32">
        <v>417</v>
      </c>
      <c r="B421" s="179"/>
      <c r="C421" s="179"/>
      <c r="D421" s="18" t="s">
        <v>768</v>
      </c>
      <c r="E421" s="26"/>
      <c r="F421" s="26"/>
      <c r="G421" s="26">
        <v>1.5</v>
      </c>
      <c r="H421" s="26"/>
    </row>
    <row r="422" spans="1:8" ht="15.75" customHeight="1" x14ac:dyDescent="0.25">
      <c r="A422" s="32">
        <v>418</v>
      </c>
      <c r="B422" s="179"/>
      <c r="C422" s="179"/>
      <c r="D422" s="18" t="s">
        <v>769</v>
      </c>
      <c r="E422" s="26"/>
      <c r="F422" s="26"/>
      <c r="G422" s="26">
        <v>2</v>
      </c>
      <c r="H422" s="26"/>
    </row>
    <row r="423" spans="1:8" ht="15.75" customHeight="1" x14ac:dyDescent="0.25">
      <c r="A423" s="32">
        <v>419</v>
      </c>
      <c r="B423" s="179"/>
      <c r="C423" s="179"/>
      <c r="D423" s="18" t="s">
        <v>770</v>
      </c>
      <c r="E423" s="26"/>
      <c r="F423" s="26"/>
      <c r="G423" s="26">
        <v>0.25</v>
      </c>
      <c r="H423" s="26"/>
    </row>
    <row r="424" spans="1:8" ht="15.75" customHeight="1" x14ac:dyDescent="0.25">
      <c r="A424" s="32">
        <v>420</v>
      </c>
      <c r="B424" s="179"/>
      <c r="C424" s="179"/>
      <c r="D424" s="18" t="s">
        <v>771</v>
      </c>
      <c r="E424" s="26"/>
      <c r="F424" s="26"/>
      <c r="G424" s="26">
        <v>10</v>
      </c>
      <c r="H424" s="26"/>
    </row>
    <row r="425" spans="1:8" ht="15.75" customHeight="1" x14ac:dyDescent="0.25">
      <c r="A425" s="32">
        <v>421</v>
      </c>
      <c r="B425" s="179"/>
      <c r="C425" s="179"/>
      <c r="D425" s="18" t="s">
        <v>772</v>
      </c>
      <c r="E425" s="26"/>
      <c r="F425" s="26"/>
      <c r="G425" s="26">
        <v>7</v>
      </c>
      <c r="H425" s="26"/>
    </row>
    <row r="426" spans="1:8" ht="15.75" customHeight="1" x14ac:dyDescent="0.25">
      <c r="A426" s="32">
        <v>422</v>
      </c>
      <c r="B426" s="179"/>
      <c r="C426" s="179"/>
      <c r="D426" s="18" t="s">
        <v>773</v>
      </c>
      <c r="E426" s="26"/>
      <c r="F426" s="26"/>
      <c r="G426" s="26">
        <v>20</v>
      </c>
      <c r="H426" s="26"/>
    </row>
    <row r="427" spans="1:8" ht="15.75" customHeight="1" x14ac:dyDescent="0.25">
      <c r="A427" s="32">
        <v>423</v>
      </c>
      <c r="B427" s="179"/>
      <c r="C427" s="179"/>
      <c r="D427" s="18" t="s">
        <v>774</v>
      </c>
      <c r="E427" s="26"/>
      <c r="F427" s="26"/>
      <c r="G427" s="26">
        <v>6</v>
      </c>
      <c r="H427" s="26"/>
    </row>
    <row r="428" spans="1:8" ht="15.75" customHeight="1" x14ac:dyDescent="0.25">
      <c r="A428" s="32">
        <v>424</v>
      </c>
      <c r="B428" s="179"/>
      <c r="C428" s="179"/>
      <c r="D428" s="18" t="s">
        <v>775</v>
      </c>
      <c r="E428" s="26"/>
      <c r="F428" s="26"/>
      <c r="G428" s="26">
        <v>2</v>
      </c>
      <c r="H428" s="26"/>
    </row>
    <row r="429" spans="1:8" ht="15.75" customHeight="1" x14ac:dyDescent="0.25">
      <c r="A429" s="32">
        <v>425</v>
      </c>
      <c r="B429" s="179"/>
      <c r="C429" s="179"/>
      <c r="D429" s="18" t="s">
        <v>776</v>
      </c>
      <c r="E429" s="26"/>
      <c r="F429" s="26"/>
      <c r="G429" s="26">
        <v>1.5</v>
      </c>
      <c r="H429" s="26"/>
    </row>
    <row r="430" spans="1:8" ht="15.75" customHeight="1" x14ac:dyDescent="0.25">
      <c r="A430" s="32">
        <v>426</v>
      </c>
      <c r="B430" s="179"/>
      <c r="C430" s="179"/>
      <c r="D430" s="18" t="s">
        <v>777</v>
      </c>
      <c r="E430" s="26"/>
      <c r="F430" s="26"/>
      <c r="G430" s="26">
        <v>0.25</v>
      </c>
      <c r="H430" s="26"/>
    </row>
    <row r="431" spans="1:8" ht="15.75" customHeight="1" x14ac:dyDescent="0.25">
      <c r="A431" s="32">
        <v>427</v>
      </c>
      <c r="B431" s="179"/>
      <c r="C431" s="179"/>
      <c r="D431" s="18" t="s">
        <v>778</v>
      </c>
      <c r="E431" s="26"/>
      <c r="F431" s="26"/>
      <c r="G431" s="26">
        <v>1.5</v>
      </c>
      <c r="H431" s="26"/>
    </row>
    <row r="432" spans="1:8" ht="15.75" customHeight="1" x14ac:dyDescent="0.25">
      <c r="A432" s="32">
        <v>428</v>
      </c>
      <c r="B432" s="179"/>
      <c r="C432" s="179"/>
      <c r="D432" s="18" t="s">
        <v>779</v>
      </c>
      <c r="E432" s="26"/>
      <c r="F432" s="26"/>
      <c r="G432" s="26">
        <v>1.5</v>
      </c>
      <c r="H432" s="26"/>
    </row>
    <row r="433" spans="1:8" ht="15.75" customHeight="1" x14ac:dyDescent="0.25">
      <c r="A433" s="32">
        <v>429</v>
      </c>
      <c r="B433" s="179"/>
      <c r="C433" s="179"/>
      <c r="D433" s="18" t="s">
        <v>780</v>
      </c>
      <c r="E433" s="26"/>
      <c r="F433" s="26"/>
      <c r="G433" s="26">
        <v>2</v>
      </c>
      <c r="H433" s="26"/>
    </row>
    <row r="434" spans="1:8" ht="15.75" customHeight="1" x14ac:dyDescent="0.25">
      <c r="A434" s="32">
        <v>430</v>
      </c>
      <c r="B434" s="179"/>
      <c r="C434" s="179"/>
      <c r="D434" s="18" t="s">
        <v>781</v>
      </c>
      <c r="E434" s="26"/>
      <c r="F434" s="26"/>
      <c r="G434" s="26">
        <v>3</v>
      </c>
      <c r="H434" s="26"/>
    </row>
    <row r="435" spans="1:8" ht="15.75" customHeight="1" x14ac:dyDescent="0.25">
      <c r="A435" s="32">
        <v>431</v>
      </c>
      <c r="B435" s="179"/>
      <c r="C435" s="179"/>
      <c r="D435" s="18" t="s">
        <v>782</v>
      </c>
      <c r="E435" s="26"/>
      <c r="F435" s="26"/>
      <c r="G435" s="26">
        <v>1</v>
      </c>
      <c r="H435" s="26"/>
    </row>
    <row r="436" spans="1:8" ht="15.75" customHeight="1" x14ac:dyDescent="0.25">
      <c r="A436" s="32">
        <v>432</v>
      </c>
      <c r="B436" s="179"/>
      <c r="C436" s="179"/>
      <c r="D436" s="18" t="s">
        <v>783</v>
      </c>
      <c r="E436" s="26"/>
      <c r="F436" s="26"/>
      <c r="G436" s="26">
        <v>0.25</v>
      </c>
      <c r="H436" s="26"/>
    </row>
    <row r="437" spans="1:8" ht="15.75" customHeight="1" x14ac:dyDescent="0.25">
      <c r="A437" s="32">
        <v>433</v>
      </c>
      <c r="B437" s="179"/>
      <c r="C437" s="179"/>
      <c r="D437" s="18" t="s">
        <v>784</v>
      </c>
      <c r="E437" s="26"/>
      <c r="F437" s="26"/>
      <c r="G437" s="26">
        <v>8</v>
      </c>
      <c r="H437" s="26"/>
    </row>
    <row r="438" spans="1:8" ht="15.75" customHeight="1" x14ac:dyDescent="0.25">
      <c r="A438" s="32">
        <v>434</v>
      </c>
      <c r="B438" s="179"/>
      <c r="C438" s="179"/>
      <c r="D438" s="18" t="s">
        <v>785</v>
      </c>
      <c r="E438" s="26"/>
      <c r="F438" s="26"/>
      <c r="G438" s="26">
        <v>1</v>
      </c>
      <c r="H438" s="26"/>
    </row>
    <row r="439" spans="1:8" ht="15.75" customHeight="1" x14ac:dyDescent="0.25">
      <c r="A439" s="32">
        <v>435</v>
      </c>
      <c r="B439" s="179"/>
      <c r="C439" s="179"/>
      <c r="D439" s="18" t="s">
        <v>786</v>
      </c>
      <c r="E439" s="26"/>
      <c r="F439" s="26"/>
      <c r="G439" s="26">
        <v>1</v>
      </c>
      <c r="H439" s="26"/>
    </row>
    <row r="440" spans="1:8" ht="15.75" customHeight="1" x14ac:dyDescent="0.25">
      <c r="A440" s="32">
        <v>436</v>
      </c>
      <c r="B440" s="179"/>
      <c r="C440" s="180"/>
      <c r="D440" s="18" t="s">
        <v>787</v>
      </c>
      <c r="E440" s="26"/>
      <c r="F440" s="26"/>
      <c r="G440" s="26">
        <v>0.25</v>
      </c>
      <c r="H440" s="26"/>
    </row>
    <row r="441" spans="1:8" ht="15.75" customHeight="1" x14ac:dyDescent="0.25">
      <c r="A441" s="32">
        <v>437</v>
      </c>
      <c r="B441" s="179"/>
      <c r="C441" s="178" t="s">
        <v>788</v>
      </c>
      <c r="D441" s="18" t="s">
        <v>789</v>
      </c>
      <c r="E441" s="26"/>
      <c r="F441" s="26"/>
      <c r="G441" s="26">
        <v>1.5</v>
      </c>
      <c r="H441" s="26"/>
    </row>
    <row r="442" spans="1:8" ht="15.75" customHeight="1" x14ac:dyDescent="0.25">
      <c r="A442" s="32">
        <v>438</v>
      </c>
      <c r="B442" s="179"/>
      <c r="C442" s="179"/>
      <c r="D442" s="18" t="s">
        <v>790</v>
      </c>
      <c r="E442" s="26"/>
      <c r="F442" s="26"/>
      <c r="G442" s="26" t="s">
        <v>791</v>
      </c>
      <c r="H442" s="26"/>
    </row>
    <row r="443" spans="1:8" ht="15.75" customHeight="1" x14ac:dyDescent="0.25">
      <c r="A443" s="32">
        <v>439</v>
      </c>
      <c r="B443" s="179"/>
      <c r="C443" s="179"/>
      <c r="D443" s="18" t="s">
        <v>792</v>
      </c>
      <c r="E443" s="26"/>
      <c r="F443" s="26"/>
      <c r="G443" s="26">
        <v>2</v>
      </c>
      <c r="H443" s="26"/>
    </row>
    <row r="444" spans="1:8" ht="15.75" customHeight="1" x14ac:dyDescent="0.25">
      <c r="A444" s="32">
        <v>440</v>
      </c>
      <c r="B444" s="179"/>
      <c r="C444" s="179"/>
      <c r="D444" s="18" t="s">
        <v>793</v>
      </c>
      <c r="E444" s="26"/>
      <c r="F444" s="26"/>
      <c r="G444" s="26" t="s">
        <v>791</v>
      </c>
      <c r="H444" s="26"/>
    </row>
    <row r="445" spans="1:8" ht="15.75" customHeight="1" x14ac:dyDescent="0.25">
      <c r="A445" s="32">
        <v>441</v>
      </c>
      <c r="B445" s="179"/>
      <c r="C445" s="179"/>
      <c r="D445" s="18" t="s">
        <v>794</v>
      </c>
      <c r="E445" s="26"/>
      <c r="F445" s="26"/>
      <c r="G445" s="26">
        <v>2</v>
      </c>
      <c r="H445" s="26"/>
    </row>
    <row r="446" spans="1:8" ht="15.75" customHeight="1" x14ac:dyDescent="0.25">
      <c r="A446" s="32">
        <v>442</v>
      </c>
      <c r="B446" s="179"/>
      <c r="C446" s="179"/>
      <c r="D446" s="18" t="s">
        <v>795</v>
      </c>
      <c r="E446" s="26"/>
      <c r="F446" s="26"/>
      <c r="G446" s="26">
        <v>1.5</v>
      </c>
      <c r="H446" s="26"/>
    </row>
    <row r="447" spans="1:8" ht="15.75" customHeight="1" x14ac:dyDescent="0.25">
      <c r="A447" s="32">
        <v>443</v>
      </c>
      <c r="B447" s="179"/>
      <c r="C447" s="179"/>
      <c r="D447" s="18" t="s">
        <v>796</v>
      </c>
      <c r="E447" s="26"/>
      <c r="F447" s="26"/>
      <c r="G447" s="26">
        <v>1.5</v>
      </c>
      <c r="H447" s="26"/>
    </row>
    <row r="448" spans="1:8" ht="15.75" customHeight="1" x14ac:dyDescent="0.25">
      <c r="A448" s="32">
        <v>444</v>
      </c>
      <c r="B448" s="179"/>
      <c r="C448" s="179"/>
      <c r="D448" s="18" t="s">
        <v>797</v>
      </c>
      <c r="E448" s="26"/>
      <c r="F448" s="26"/>
      <c r="G448" s="26" t="s">
        <v>791</v>
      </c>
      <c r="H448" s="26"/>
    </row>
    <row r="449" spans="1:8" ht="15.75" customHeight="1" x14ac:dyDescent="0.25">
      <c r="A449" s="32">
        <v>445</v>
      </c>
      <c r="B449" s="179"/>
      <c r="C449" s="179"/>
      <c r="D449" s="18" t="s">
        <v>798</v>
      </c>
      <c r="E449" s="26"/>
      <c r="F449" s="26"/>
      <c r="G449" s="26">
        <v>1.5</v>
      </c>
      <c r="H449" s="26"/>
    </row>
    <row r="450" spans="1:8" ht="15.75" customHeight="1" x14ac:dyDescent="0.25">
      <c r="A450" s="32">
        <v>446</v>
      </c>
      <c r="B450" s="179"/>
      <c r="C450" s="179"/>
      <c r="D450" s="18" t="s">
        <v>799</v>
      </c>
      <c r="E450" s="26"/>
      <c r="F450" s="26"/>
      <c r="G450" s="26" t="s">
        <v>791</v>
      </c>
      <c r="H450" s="26"/>
    </row>
    <row r="451" spans="1:8" ht="15.75" customHeight="1" x14ac:dyDescent="0.25">
      <c r="A451" s="32">
        <v>447</v>
      </c>
      <c r="B451" s="179"/>
      <c r="C451" s="179"/>
      <c r="D451" s="18" t="s">
        <v>800</v>
      </c>
      <c r="E451" s="26"/>
      <c r="F451" s="26"/>
      <c r="G451" s="26">
        <v>2</v>
      </c>
      <c r="H451" s="26"/>
    </row>
    <row r="452" spans="1:8" ht="15.75" customHeight="1" x14ac:dyDescent="0.25">
      <c r="A452" s="32">
        <v>448</v>
      </c>
      <c r="B452" s="179"/>
      <c r="C452" s="179"/>
      <c r="D452" s="18" t="s">
        <v>801</v>
      </c>
      <c r="E452" s="26"/>
      <c r="F452" s="26"/>
      <c r="G452" s="26">
        <v>1.5</v>
      </c>
      <c r="H452" s="26"/>
    </row>
    <row r="453" spans="1:8" ht="15.75" customHeight="1" x14ac:dyDescent="0.25">
      <c r="A453" s="32">
        <v>449</v>
      </c>
      <c r="B453" s="179"/>
      <c r="C453" s="179"/>
      <c r="D453" s="18" t="s">
        <v>802</v>
      </c>
      <c r="E453" s="26"/>
      <c r="F453" s="26"/>
      <c r="G453" s="26">
        <v>1</v>
      </c>
      <c r="H453" s="26"/>
    </row>
    <row r="454" spans="1:8" ht="15.75" customHeight="1" x14ac:dyDescent="0.25">
      <c r="A454" s="32">
        <v>450</v>
      </c>
      <c r="B454" s="179"/>
      <c r="C454" s="180"/>
      <c r="D454" s="18" t="s">
        <v>803</v>
      </c>
      <c r="E454" s="26"/>
      <c r="F454" s="26"/>
      <c r="G454" s="26">
        <v>1.5</v>
      </c>
      <c r="H454" s="26"/>
    </row>
    <row r="455" spans="1:8" ht="15.75" customHeight="1" x14ac:dyDescent="0.25">
      <c r="A455" s="32">
        <v>451</v>
      </c>
      <c r="B455" s="179"/>
      <c r="C455" s="178" t="s">
        <v>804</v>
      </c>
      <c r="D455" s="18" t="s">
        <v>805</v>
      </c>
      <c r="E455" s="26"/>
      <c r="F455" s="26"/>
      <c r="G455" s="26">
        <v>2</v>
      </c>
      <c r="H455" s="26"/>
    </row>
    <row r="456" spans="1:8" ht="15.75" customHeight="1" x14ac:dyDescent="0.25">
      <c r="A456" s="32">
        <v>452</v>
      </c>
      <c r="B456" s="179"/>
      <c r="C456" s="179"/>
      <c r="D456" s="18" t="s">
        <v>806</v>
      </c>
      <c r="E456" s="26"/>
      <c r="F456" s="26"/>
      <c r="G456" s="26">
        <v>1</v>
      </c>
      <c r="H456" s="26"/>
    </row>
    <row r="457" spans="1:8" ht="15.75" customHeight="1" x14ac:dyDescent="0.25">
      <c r="A457" s="32">
        <v>453</v>
      </c>
      <c r="B457" s="179"/>
      <c r="C457" s="179"/>
      <c r="D457" s="18" t="s">
        <v>807</v>
      </c>
      <c r="E457" s="26"/>
      <c r="F457" s="26"/>
      <c r="G457" s="26">
        <v>2</v>
      </c>
      <c r="H457" s="26"/>
    </row>
    <row r="458" spans="1:8" ht="15.75" customHeight="1" x14ac:dyDescent="0.25">
      <c r="A458" s="32">
        <v>454</v>
      </c>
      <c r="B458" s="179"/>
      <c r="C458" s="179"/>
      <c r="D458" s="18" t="s">
        <v>767</v>
      </c>
      <c r="E458" s="26"/>
      <c r="F458" s="26"/>
      <c r="G458" s="26">
        <v>1.5</v>
      </c>
      <c r="H458" s="26"/>
    </row>
    <row r="459" spans="1:8" ht="15.75" customHeight="1" x14ac:dyDescent="0.25">
      <c r="A459" s="32">
        <v>455</v>
      </c>
      <c r="B459" s="179"/>
      <c r="C459" s="179"/>
      <c r="D459" s="18" t="s">
        <v>507</v>
      </c>
      <c r="E459" s="26"/>
      <c r="F459" s="26"/>
      <c r="G459" s="26">
        <v>2</v>
      </c>
      <c r="H459" s="26"/>
    </row>
    <row r="460" spans="1:8" ht="15.75" customHeight="1" x14ac:dyDescent="0.25">
      <c r="A460" s="32">
        <v>456</v>
      </c>
      <c r="B460" s="179"/>
      <c r="C460" s="179"/>
      <c r="D460" s="18" t="s">
        <v>808</v>
      </c>
      <c r="E460" s="26"/>
      <c r="F460" s="26"/>
      <c r="G460" s="26">
        <v>2</v>
      </c>
      <c r="H460" s="26"/>
    </row>
    <row r="461" spans="1:8" ht="15.75" customHeight="1" x14ac:dyDescent="0.25">
      <c r="A461" s="32">
        <v>457</v>
      </c>
      <c r="B461" s="179"/>
      <c r="C461" s="179"/>
      <c r="D461" s="18" t="s">
        <v>809</v>
      </c>
      <c r="E461" s="26"/>
      <c r="F461" s="26"/>
      <c r="G461" s="26">
        <v>2</v>
      </c>
      <c r="H461" s="26"/>
    </row>
    <row r="462" spans="1:8" ht="15.75" customHeight="1" x14ac:dyDescent="0.25">
      <c r="A462" s="32">
        <v>458</v>
      </c>
      <c r="B462" s="179"/>
      <c r="C462" s="179"/>
      <c r="D462" s="18" t="s">
        <v>810</v>
      </c>
      <c r="E462" s="26"/>
      <c r="F462" s="26"/>
      <c r="G462" s="26">
        <v>2</v>
      </c>
      <c r="H462" s="26"/>
    </row>
    <row r="463" spans="1:8" ht="15.75" customHeight="1" x14ac:dyDescent="0.25">
      <c r="A463" s="32">
        <v>459</v>
      </c>
      <c r="B463" s="179"/>
      <c r="C463" s="179"/>
      <c r="D463" s="18" t="s">
        <v>811</v>
      </c>
      <c r="E463" s="26"/>
      <c r="F463" s="26"/>
      <c r="G463" s="26">
        <v>2</v>
      </c>
      <c r="H463" s="26"/>
    </row>
    <row r="464" spans="1:8" ht="15.75" customHeight="1" x14ac:dyDescent="0.25">
      <c r="A464" s="32">
        <v>460</v>
      </c>
      <c r="B464" s="179"/>
      <c r="C464" s="179"/>
      <c r="D464" s="18" t="s">
        <v>812</v>
      </c>
      <c r="E464" s="26"/>
      <c r="F464" s="26"/>
      <c r="G464" s="26">
        <v>2</v>
      </c>
      <c r="H464" s="26"/>
    </row>
    <row r="465" spans="1:8" ht="15.75" customHeight="1" x14ac:dyDescent="0.25">
      <c r="A465" s="32">
        <v>461</v>
      </c>
      <c r="B465" s="179"/>
      <c r="C465" s="179"/>
      <c r="D465" s="18" t="s">
        <v>813</v>
      </c>
      <c r="E465" s="26"/>
      <c r="F465" s="26"/>
      <c r="G465" s="26">
        <v>2</v>
      </c>
      <c r="H465" s="26"/>
    </row>
    <row r="466" spans="1:8" ht="15.75" customHeight="1" x14ac:dyDescent="0.25">
      <c r="A466" s="32">
        <v>462</v>
      </c>
      <c r="B466" s="179"/>
      <c r="C466" s="179"/>
      <c r="D466" s="18" t="s">
        <v>814</v>
      </c>
      <c r="E466" s="26"/>
      <c r="F466" s="26"/>
      <c r="G466" s="26">
        <v>2</v>
      </c>
      <c r="H466" s="26"/>
    </row>
    <row r="467" spans="1:8" ht="15.75" customHeight="1" x14ac:dyDescent="0.25">
      <c r="A467" s="32">
        <v>463</v>
      </c>
      <c r="B467" s="179"/>
      <c r="C467" s="179"/>
      <c r="D467" s="18" t="s">
        <v>815</v>
      </c>
      <c r="E467" s="26"/>
      <c r="F467" s="26"/>
      <c r="G467" s="26">
        <v>1.5</v>
      </c>
      <c r="H467" s="26"/>
    </row>
    <row r="468" spans="1:8" ht="15.75" customHeight="1" x14ac:dyDescent="0.25">
      <c r="A468" s="32">
        <v>464</v>
      </c>
      <c r="B468" s="179"/>
      <c r="C468" s="179"/>
      <c r="D468" s="18" t="s">
        <v>816</v>
      </c>
      <c r="E468" s="26"/>
      <c r="F468" s="26"/>
      <c r="G468" s="26">
        <v>1.5</v>
      </c>
      <c r="H468" s="26"/>
    </row>
    <row r="469" spans="1:8" ht="15.75" customHeight="1" x14ac:dyDescent="0.25">
      <c r="A469" s="32">
        <v>465</v>
      </c>
      <c r="B469" s="179"/>
      <c r="C469" s="179"/>
      <c r="D469" s="18" t="s">
        <v>409</v>
      </c>
      <c r="E469" s="26"/>
      <c r="F469" s="26"/>
      <c r="G469" s="26">
        <v>2</v>
      </c>
      <c r="H469" s="26"/>
    </row>
    <row r="470" spans="1:8" ht="15.75" customHeight="1" x14ac:dyDescent="0.25">
      <c r="A470" s="32">
        <v>466</v>
      </c>
      <c r="B470" s="179"/>
      <c r="C470" s="179"/>
      <c r="D470" s="18" t="s">
        <v>817</v>
      </c>
      <c r="E470" s="26"/>
      <c r="F470" s="26"/>
      <c r="G470" s="26">
        <v>2</v>
      </c>
      <c r="H470" s="26"/>
    </row>
    <row r="471" spans="1:8" ht="15.75" customHeight="1" x14ac:dyDescent="0.25">
      <c r="A471" s="32">
        <v>467</v>
      </c>
      <c r="B471" s="179"/>
      <c r="C471" s="179"/>
      <c r="D471" s="18" t="s">
        <v>818</v>
      </c>
      <c r="E471" s="26"/>
      <c r="F471" s="26"/>
      <c r="G471" s="26">
        <v>2</v>
      </c>
      <c r="H471" s="26"/>
    </row>
    <row r="472" spans="1:8" ht="15.75" customHeight="1" x14ac:dyDescent="0.25">
      <c r="A472" s="32">
        <v>468</v>
      </c>
      <c r="B472" s="179"/>
      <c r="C472" s="179"/>
      <c r="D472" s="18" t="s">
        <v>819</v>
      </c>
      <c r="E472" s="26"/>
      <c r="F472" s="26"/>
      <c r="G472" s="26">
        <v>1.75</v>
      </c>
      <c r="H472" s="26"/>
    </row>
    <row r="473" spans="1:8" ht="15.75" customHeight="1" x14ac:dyDescent="0.25">
      <c r="A473" s="32">
        <v>469</v>
      </c>
      <c r="B473" s="179"/>
      <c r="C473" s="179"/>
      <c r="D473" s="18" t="s">
        <v>820</v>
      </c>
      <c r="E473" s="26"/>
      <c r="F473" s="26"/>
      <c r="G473" s="26">
        <v>2</v>
      </c>
      <c r="H473" s="26"/>
    </row>
    <row r="474" spans="1:8" ht="15.75" customHeight="1" x14ac:dyDescent="0.25">
      <c r="A474" s="32">
        <v>470</v>
      </c>
      <c r="B474" s="179"/>
      <c r="C474" s="179"/>
      <c r="D474" s="18" t="s">
        <v>821</v>
      </c>
      <c r="E474" s="26"/>
      <c r="F474" s="26"/>
      <c r="G474" s="26">
        <v>2</v>
      </c>
      <c r="H474" s="26"/>
    </row>
    <row r="475" spans="1:8" ht="15.75" customHeight="1" x14ac:dyDescent="0.25">
      <c r="A475" s="32">
        <v>471</v>
      </c>
      <c r="B475" s="179"/>
      <c r="C475" s="179"/>
      <c r="D475" s="18" t="s">
        <v>822</v>
      </c>
      <c r="E475" s="26"/>
      <c r="F475" s="26"/>
      <c r="G475" s="26">
        <v>1.25</v>
      </c>
      <c r="H475" s="26"/>
    </row>
    <row r="476" spans="1:8" ht="15.75" customHeight="1" x14ac:dyDescent="0.25">
      <c r="A476" s="32">
        <v>472</v>
      </c>
      <c r="B476" s="179"/>
      <c r="C476" s="179"/>
      <c r="D476" s="18" t="s">
        <v>823</v>
      </c>
      <c r="E476" s="26"/>
      <c r="F476" s="26"/>
      <c r="G476" s="26">
        <v>2</v>
      </c>
      <c r="H476" s="26"/>
    </row>
    <row r="477" spans="1:8" ht="15.75" customHeight="1" x14ac:dyDescent="0.25">
      <c r="A477" s="32">
        <v>473</v>
      </c>
      <c r="B477" s="179"/>
      <c r="C477" s="179"/>
      <c r="D477" s="18" t="s">
        <v>697</v>
      </c>
      <c r="E477" s="26"/>
      <c r="F477" s="26"/>
      <c r="G477" s="26">
        <v>1.25</v>
      </c>
      <c r="H477" s="26"/>
    </row>
    <row r="478" spans="1:8" ht="15.75" customHeight="1" x14ac:dyDescent="0.25">
      <c r="A478" s="32">
        <v>474</v>
      </c>
      <c r="B478" s="179"/>
      <c r="C478" s="179"/>
      <c r="D478" s="18" t="s">
        <v>824</v>
      </c>
      <c r="E478" s="26"/>
      <c r="F478" s="26"/>
      <c r="G478" s="26">
        <v>1.5</v>
      </c>
      <c r="H478" s="26"/>
    </row>
    <row r="479" spans="1:8" ht="15.75" customHeight="1" x14ac:dyDescent="0.25">
      <c r="A479" s="32">
        <v>475</v>
      </c>
      <c r="B479" s="179"/>
      <c r="C479" s="179"/>
      <c r="D479" s="18" t="s">
        <v>477</v>
      </c>
      <c r="E479" s="26"/>
      <c r="F479" s="26"/>
      <c r="G479" s="26">
        <v>2</v>
      </c>
      <c r="H479" s="26"/>
    </row>
    <row r="480" spans="1:8" ht="15.75" customHeight="1" x14ac:dyDescent="0.25">
      <c r="A480" s="32">
        <v>476</v>
      </c>
      <c r="B480" s="179"/>
      <c r="C480" s="179"/>
      <c r="D480" s="18" t="s">
        <v>825</v>
      </c>
      <c r="E480" s="26"/>
      <c r="F480" s="26"/>
      <c r="G480" s="26">
        <v>2</v>
      </c>
      <c r="H480" s="26"/>
    </row>
    <row r="481" spans="1:8" ht="15.75" customHeight="1" x14ac:dyDescent="0.25">
      <c r="A481" s="32">
        <v>477</v>
      </c>
      <c r="B481" s="179"/>
      <c r="C481" s="179"/>
      <c r="D481" s="18" t="s">
        <v>826</v>
      </c>
      <c r="E481" s="26"/>
      <c r="F481" s="26"/>
      <c r="G481" s="26">
        <v>2</v>
      </c>
      <c r="H481" s="26"/>
    </row>
    <row r="482" spans="1:8" ht="15.75" customHeight="1" x14ac:dyDescent="0.25">
      <c r="A482" s="32">
        <v>478</v>
      </c>
      <c r="B482" s="179"/>
      <c r="C482" s="179"/>
      <c r="D482" s="18" t="s">
        <v>827</v>
      </c>
      <c r="E482" s="26"/>
      <c r="F482" s="26"/>
      <c r="G482" s="26">
        <v>1.75</v>
      </c>
      <c r="H482" s="26"/>
    </row>
    <row r="483" spans="1:8" ht="15.75" customHeight="1" x14ac:dyDescent="0.25">
      <c r="A483" s="32">
        <v>479</v>
      </c>
      <c r="B483" s="179"/>
      <c r="C483" s="179"/>
      <c r="D483" s="18" t="s">
        <v>828</v>
      </c>
      <c r="E483" s="26"/>
      <c r="F483" s="26"/>
      <c r="G483" s="26">
        <v>2</v>
      </c>
      <c r="H483" s="26"/>
    </row>
    <row r="484" spans="1:8" ht="15.75" customHeight="1" x14ac:dyDescent="0.25">
      <c r="A484" s="32">
        <v>480</v>
      </c>
      <c r="B484" s="179"/>
      <c r="C484" s="179"/>
      <c r="D484" s="18" t="s">
        <v>829</v>
      </c>
      <c r="E484" s="26"/>
      <c r="F484" s="26"/>
      <c r="G484" s="26">
        <v>2</v>
      </c>
      <c r="H484" s="26"/>
    </row>
    <row r="485" spans="1:8" ht="15.75" customHeight="1" x14ac:dyDescent="0.25">
      <c r="A485" s="32">
        <v>481</v>
      </c>
      <c r="B485" s="179"/>
      <c r="C485" s="179"/>
      <c r="D485" s="18" t="s">
        <v>830</v>
      </c>
      <c r="E485" s="26"/>
      <c r="F485" s="26"/>
      <c r="G485" s="26">
        <v>2</v>
      </c>
      <c r="H485" s="26"/>
    </row>
    <row r="486" spans="1:8" ht="15.75" customHeight="1" x14ac:dyDescent="0.25">
      <c r="A486" s="32">
        <v>482</v>
      </c>
      <c r="B486" s="180"/>
      <c r="C486" s="180"/>
      <c r="D486" s="18" t="s">
        <v>831</v>
      </c>
      <c r="E486" s="26"/>
      <c r="F486" s="26"/>
      <c r="G486" s="26">
        <v>2</v>
      </c>
      <c r="H486" s="26"/>
    </row>
    <row r="487" spans="1:8" ht="15.75" customHeight="1" x14ac:dyDescent="0.25">
      <c r="A487" s="32">
        <v>483</v>
      </c>
      <c r="B487" s="178" t="s">
        <v>76</v>
      </c>
      <c r="C487" s="178" t="s">
        <v>832</v>
      </c>
      <c r="D487" s="18" t="s">
        <v>833</v>
      </c>
      <c r="E487" s="26"/>
      <c r="F487" s="26"/>
      <c r="G487" s="26">
        <v>1.25</v>
      </c>
      <c r="H487" s="26"/>
    </row>
    <row r="488" spans="1:8" ht="15.75" customHeight="1" x14ac:dyDescent="0.25">
      <c r="A488" s="32">
        <v>484</v>
      </c>
      <c r="B488" s="179"/>
      <c r="C488" s="179"/>
      <c r="D488" s="18" t="s">
        <v>834</v>
      </c>
      <c r="E488" s="26"/>
      <c r="F488" s="26"/>
      <c r="G488" s="26">
        <v>0.25</v>
      </c>
      <c r="H488" s="26"/>
    </row>
    <row r="489" spans="1:8" ht="15.75" customHeight="1" x14ac:dyDescent="0.25">
      <c r="A489" s="32">
        <v>485</v>
      </c>
      <c r="B489" s="179"/>
      <c r="C489" s="179"/>
      <c r="D489" s="18" t="s">
        <v>421</v>
      </c>
      <c r="E489" s="26"/>
      <c r="F489" s="26"/>
      <c r="G489" s="26">
        <v>0.75</v>
      </c>
      <c r="H489" s="26"/>
    </row>
    <row r="490" spans="1:8" ht="15.75" customHeight="1" x14ac:dyDescent="0.25">
      <c r="A490" s="32">
        <v>486</v>
      </c>
      <c r="B490" s="179"/>
      <c r="C490" s="179"/>
      <c r="D490" s="18" t="s">
        <v>835</v>
      </c>
      <c r="E490" s="26"/>
      <c r="F490" s="26"/>
      <c r="G490" s="26">
        <v>0.75</v>
      </c>
      <c r="H490" s="26"/>
    </row>
    <row r="491" spans="1:8" ht="15.75" customHeight="1" x14ac:dyDescent="0.25">
      <c r="A491" s="32">
        <v>487</v>
      </c>
      <c r="B491" s="179"/>
      <c r="C491" s="179"/>
      <c r="D491" s="18" t="s">
        <v>356</v>
      </c>
      <c r="E491" s="26"/>
      <c r="F491" s="26"/>
      <c r="G491" s="26">
        <v>0.5</v>
      </c>
      <c r="H491" s="26"/>
    </row>
    <row r="492" spans="1:8" ht="15.75" customHeight="1" x14ac:dyDescent="0.25">
      <c r="A492" s="32">
        <v>488</v>
      </c>
      <c r="B492" s="179"/>
      <c r="C492" s="179"/>
      <c r="D492" s="18" t="s">
        <v>836</v>
      </c>
      <c r="E492" s="26"/>
      <c r="F492" s="26"/>
      <c r="G492" s="26">
        <v>0.85</v>
      </c>
      <c r="H492" s="26"/>
    </row>
    <row r="493" spans="1:8" ht="15.75" customHeight="1" x14ac:dyDescent="0.25">
      <c r="A493" s="32">
        <v>489</v>
      </c>
      <c r="B493" s="179"/>
      <c r="C493" s="179"/>
      <c r="D493" s="18" t="s">
        <v>485</v>
      </c>
      <c r="E493" s="26"/>
      <c r="F493" s="26"/>
      <c r="G493" s="26">
        <v>0.85</v>
      </c>
      <c r="H493" s="26"/>
    </row>
    <row r="494" spans="1:8" ht="15.75" customHeight="1" x14ac:dyDescent="0.25">
      <c r="A494" s="32">
        <v>490</v>
      </c>
      <c r="B494" s="179"/>
      <c r="C494" s="179"/>
      <c r="D494" s="18" t="s">
        <v>837</v>
      </c>
      <c r="E494" s="26"/>
      <c r="F494" s="26"/>
      <c r="G494" s="26">
        <v>0.75</v>
      </c>
      <c r="H494" s="26"/>
    </row>
    <row r="495" spans="1:8" ht="15.75" customHeight="1" x14ac:dyDescent="0.25">
      <c r="A495" s="32">
        <v>491</v>
      </c>
      <c r="B495" s="179"/>
      <c r="C495" s="179"/>
      <c r="D495" s="18" t="s">
        <v>838</v>
      </c>
      <c r="E495" s="26"/>
      <c r="F495" s="26"/>
      <c r="G495" s="26">
        <v>0.25</v>
      </c>
      <c r="H495" s="26"/>
    </row>
    <row r="496" spans="1:8" ht="15.75" customHeight="1" x14ac:dyDescent="0.25">
      <c r="A496" s="32">
        <v>492</v>
      </c>
      <c r="B496" s="179"/>
      <c r="C496" s="179"/>
      <c r="D496" s="18" t="s">
        <v>839</v>
      </c>
      <c r="E496" s="26"/>
      <c r="F496" s="26"/>
      <c r="G496" s="26">
        <v>1</v>
      </c>
      <c r="H496" s="26"/>
    </row>
    <row r="497" spans="1:8" ht="15.75" customHeight="1" x14ac:dyDescent="0.25">
      <c r="A497" s="32">
        <v>493</v>
      </c>
      <c r="B497" s="179"/>
      <c r="C497" s="179"/>
      <c r="D497" s="18" t="s">
        <v>840</v>
      </c>
      <c r="E497" s="26"/>
      <c r="F497" s="26"/>
      <c r="G497" s="26">
        <v>1.2</v>
      </c>
      <c r="H497" s="26"/>
    </row>
    <row r="498" spans="1:8" ht="15.75" customHeight="1" x14ac:dyDescent="0.25">
      <c r="A498" s="32">
        <v>494</v>
      </c>
      <c r="B498" s="179"/>
      <c r="C498" s="179"/>
      <c r="D498" s="18" t="s">
        <v>841</v>
      </c>
      <c r="E498" s="26"/>
      <c r="F498" s="26"/>
      <c r="G498" s="26">
        <v>0.75</v>
      </c>
      <c r="H498" s="26"/>
    </row>
    <row r="499" spans="1:8" ht="15.75" customHeight="1" x14ac:dyDescent="0.25">
      <c r="A499" s="32">
        <v>495</v>
      </c>
      <c r="B499" s="179"/>
      <c r="C499" s="179"/>
      <c r="D499" s="18" t="s">
        <v>842</v>
      </c>
      <c r="E499" s="26"/>
      <c r="F499" s="26"/>
      <c r="G499" s="26">
        <v>0.25</v>
      </c>
      <c r="H499" s="26"/>
    </row>
    <row r="500" spans="1:8" ht="15.75" customHeight="1" x14ac:dyDescent="0.25">
      <c r="A500" s="32">
        <v>496</v>
      </c>
      <c r="B500" s="179"/>
      <c r="C500" s="179"/>
      <c r="D500" s="18" t="s">
        <v>843</v>
      </c>
      <c r="E500" s="26"/>
      <c r="F500" s="26"/>
      <c r="G500" s="26">
        <v>0.75</v>
      </c>
      <c r="H500" s="26"/>
    </row>
    <row r="501" spans="1:8" ht="15.75" customHeight="1" x14ac:dyDescent="0.25">
      <c r="A501" s="32">
        <v>497</v>
      </c>
      <c r="B501" s="179"/>
      <c r="C501" s="179"/>
      <c r="D501" s="18" t="s">
        <v>844</v>
      </c>
      <c r="E501" s="26"/>
      <c r="F501" s="26"/>
      <c r="G501" s="26">
        <v>0.5</v>
      </c>
      <c r="H501" s="26"/>
    </row>
    <row r="502" spans="1:8" ht="15.75" customHeight="1" x14ac:dyDescent="0.25">
      <c r="A502" s="32">
        <v>498</v>
      </c>
      <c r="B502" s="179"/>
      <c r="C502" s="179"/>
      <c r="D502" s="18" t="s">
        <v>845</v>
      </c>
      <c r="E502" s="26"/>
      <c r="F502" s="26"/>
      <c r="G502" s="26">
        <v>0.5</v>
      </c>
      <c r="H502" s="26"/>
    </row>
    <row r="503" spans="1:8" ht="15.75" customHeight="1" x14ac:dyDescent="0.25">
      <c r="A503" s="32">
        <v>499</v>
      </c>
      <c r="B503" s="179"/>
      <c r="C503" s="179"/>
      <c r="D503" s="18" t="s">
        <v>846</v>
      </c>
      <c r="E503" s="26"/>
      <c r="F503" s="26"/>
      <c r="G503" s="26">
        <v>0.25</v>
      </c>
      <c r="H503" s="26"/>
    </row>
    <row r="504" spans="1:8" ht="15.75" customHeight="1" x14ac:dyDescent="0.25">
      <c r="A504" s="32">
        <v>500</v>
      </c>
      <c r="B504" s="179"/>
      <c r="C504" s="179"/>
      <c r="D504" s="18" t="s">
        <v>847</v>
      </c>
      <c r="E504" s="26"/>
      <c r="F504" s="26"/>
      <c r="G504" s="26">
        <v>0.5</v>
      </c>
      <c r="H504" s="26"/>
    </row>
    <row r="505" spans="1:8" ht="15.75" customHeight="1" x14ac:dyDescent="0.25">
      <c r="A505" s="32">
        <v>501</v>
      </c>
      <c r="B505" s="179"/>
      <c r="C505" s="179"/>
      <c r="D505" s="18" t="s">
        <v>848</v>
      </c>
      <c r="E505" s="26"/>
      <c r="F505" s="26"/>
      <c r="G505" s="26">
        <v>1.2</v>
      </c>
      <c r="H505" s="26"/>
    </row>
    <row r="506" spans="1:8" ht="15.75" customHeight="1" x14ac:dyDescent="0.25">
      <c r="A506" s="32">
        <v>502</v>
      </c>
      <c r="B506" s="179"/>
      <c r="C506" s="179"/>
      <c r="D506" s="18" t="s">
        <v>849</v>
      </c>
      <c r="E506" s="26"/>
      <c r="F506" s="26"/>
      <c r="G506" s="26">
        <v>0.25</v>
      </c>
      <c r="H506" s="26"/>
    </row>
    <row r="507" spans="1:8" ht="15.75" customHeight="1" x14ac:dyDescent="0.25">
      <c r="A507" s="32">
        <v>503</v>
      </c>
      <c r="B507" s="179"/>
      <c r="C507" s="179"/>
      <c r="D507" s="18" t="s">
        <v>850</v>
      </c>
      <c r="E507" s="26"/>
      <c r="F507" s="26"/>
      <c r="G507" s="26">
        <v>0.85</v>
      </c>
      <c r="H507" s="26"/>
    </row>
    <row r="508" spans="1:8" ht="15.75" customHeight="1" x14ac:dyDescent="0.25">
      <c r="A508" s="32">
        <v>504</v>
      </c>
      <c r="B508" s="179"/>
      <c r="C508" s="179"/>
      <c r="D508" s="18" t="s">
        <v>851</v>
      </c>
      <c r="E508" s="26"/>
      <c r="F508" s="26"/>
      <c r="G508" s="26">
        <v>0.25</v>
      </c>
      <c r="H508" s="26"/>
    </row>
    <row r="509" spans="1:8" ht="15.75" customHeight="1" x14ac:dyDescent="0.25">
      <c r="A509" s="32">
        <v>505</v>
      </c>
      <c r="B509" s="179"/>
      <c r="C509" s="179"/>
      <c r="D509" s="18" t="s">
        <v>852</v>
      </c>
      <c r="E509" s="26"/>
      <c r="F509" s="26"/>
      <c r="G509" s="26">
        <v>0.5</v>
      </c>
      <c r="H509" s="26"/>
    </row>
    <row r="510" spans="1:8" ht="15.75" customHeight="1" x14ac:dyDescent="0.25">
      <c r="A510" s="32">
        <v>506</v>
      </c>
      <c r="B510" s="179"/>
      <c r="C510" s="179"/>
      <c r="D510" s="18" t="s">
        <v>612</v>
      </c>
      <c r="E510" s="26"/>
      <c r="F510" s="26"/>
      <c r="G510" s="26">
        <v>1.5</v>
      </c>
      <c r="H510" s="26"/>
    </row>
    <row r="511" spans="1:8" ht="15.75" customHeight="1" x14ac:dyDescent="0.25">
      <c r="A511" s="32">
        <v>507</v>
      </c>
      <c r="B511" s="179"/>
      <c r="C511" s="179"/>
      <c r="D511" s="18" t="s">
        <v>853</v>
      </c>
      <c r="E511" s="26"/>
      <c r="F511" s="26"/>
      <c r="G511" s="26">
        <v>0.75</v>
      </c>
      <c r="H511" s="26"/>
    </row>
    <row r="512" spans="1:8" ht="15.75" customHeight="1" x14ac:dyDescent="0.25">
      <c r="A512" s="32">
        <v>508</v>
      </c>
      <c r="B512" s="179"/>
      <c r="C512" s="179"/>
      <c r="D512" s="18" t="s">
        <v>854</v>
      </c>
      <c r="E512" s="26"/>
      <c r="F512" s="26"/>
      <c r="G512" s="26">
        <v>0.75</v>
      </c>
      <c r="H512" s="26"/>
    </row>
    <row r="513" spans="1:8" ht="15.75" customHeight="1" x14ac:dyDescent="0.25">
      <c r="A513" s="32">
        <v>509</v>
      </c>
      <c r="B513" s="179"/>
      <c r="C513" s="179"/>
      <c r="D513" s="18" t="s">
        <v>855</v>
      </c>
      <c r="E513" s="26"/>
      <c r="F513" s="26"/>
      <c r="G513" s="26">
        <v>0.3</v>
      </c>
      <c r="H513" s="26"/>
    </row>
    <row r="514" spans="1:8" ht="15.75" customHeight="1" x14ac:dyDescent="0.25">
      <c r="A514" s="32">
        <v>510</v>
      </c>
      <c r="B514" s="179"/>
      <c r="C514" s="179"/>
      <c r="D514" s="18" t="s">
        <v>856</v>
      </c>
      <c r="E514" s="26"/>
      <c r="F514" s="26"/>
      <c r="G514" s="26">
        <v>0.5</v>
      </c>
      <c r="H514" s="26"/>
    </row>
    <row r="515" spans="1:8" ht="15.75" customHeight="1" x14ac:dyDescent="0.25">
      <c r="A515" s="32">
        <v>511</v>
      </c>
      <c r="B515" s="179"/>
      <c r="C515" s="179"/>
      <c r="D515" s="18" t="s">
        <v>857</v>
      </c>
      <c r="E515" s="26"/>
      <c r="F515" s="26"/>
      <c r="G515" s="26">
        <v>0.25</v>
      </c>
      <c r="H515" s="26"/>
    </row>
    <row r="516" spans="1:8" ht="15.75" customHeight="1" x14ac:dyDescent="0.25">
      <c r="A516" s="32">
        <v>512</v>
      </c>
      <c r="B516" s="179"/>
      <c r="C516" s="180"/>
      <c r="D516" s="18" t="s">
        <v>858</v>
      </c>
      <c r="E516" s="26"/>
      <c r="F516" s="26"/>
      <c r="G516" s="26">
        <v>0.75</v>
      </c>
      <c r="H516" s="26"/>
    </row>
    <row r="517" spans="1:8" ht="15.75" customHeight="1" x14ac:dyDescent="0.25">
      <c r="A517" s="32">
        <v>513</v>
      </c>
      <c r="B517" s="179"/>
      <c r="C517" s="178" t="s">
        <v>859</v>
      </c>
      <c r="D517" s="18" t="s">
        <v>860</v>
      </c>
      <c r="E517" s="26"/>
      <c r="F517" s="26"/>
      <c r="G517" s="26">
        <v>0.35</v>
      </c>
      <c r="H517" s="26"/>
    </row>
    <row r="518" spans="1:8" ht="15.75" customHeight="1" x14ac:dyDescent="0.25">
      <c r="A518" s="32">
        <v>514</v>
      </c>
      <c r="B518" s="179"/>
      <c r="C518" s="179"/>
      <c r="D518" s="18" t="s">
        <v>861</v>
      </c>
      <c r="E518" s="26"/>
      <c r="F518" s="26"/>
      <c r="G518" s="26">
        <v>0.5</v>
      </c>
      <c r="H518" s="26"/>
    </row>
    <row r="519" spans="1:8" ht="15.75" customHeight="1" x14ac:dyDescent="0.25">
      <c r="A519" s="32">
        <v>515</v>
      </c>
      <c r="B519" s="179"/>
      <c r="C519" s="179"/>
      <c r="D519" s="18" t="s">
        <v>862</v>
      </c>
      <c r="E519" s="26"/>
      <c r="F519" s="26"/>
      <c r="G519" s="26">
        <v>1.5</v>
      </c>
      <c r="H519" s="26"/>
    </row>
    <row r="520" spans="1:8" ht="15.75" customHeight="1" x14ac:dyDescent="0.25">
      <c r="A520" s="32">
        <v>516</v>
      </c>
      <c r="B520" s="179"/>
      <c r="C520" s="179"/>
      <c r="D520" s="18" t="s">
        <v>863</v>
      </c>
      <c r="E520" s="26"/>
      <c r="F520" s="26"/>
      <c r="G520" s="26">
        <v>2</v>
      </c>
      <c r="H520" s="26"/>
    </row>
    <row r="521" spans="1:8" ht="15.75" customHeight="1" x14ac:dyDescent="0.25">
      <c r="A521" s="32">
        <v>517</v>
      </c>
      <c r="B521" s="179"/>
      <c r="C521" s="179"/>
      <c r="D521" s="18" t="s">
        <v>864</v>
      </c>
      <c r="E521" s="26"/>
      <c r="F521" s="26"/>
      <c r="G521" s="26">
        <v>1.5</v>
      </c>
      <c r="H521" s="26"/>
    </row>
    <row r="522" spans="1:8" ht="15.75" customHeight="1" x14ac:dyDescent="0.25">
      <c r="A522" s="32">
        <v>518</v>
      </c>
      <c r="B522" s="179"/>
      <c r="C522" s="179"/>
      <c r="D522" s="18" t="s">
        <v>865</v>
      </c>
      <c r="E522" s="26"/>
      <c r="F522" s="26"/>
      <c r="G522" s="26">
        <v>0.25</v>
      </c>
      <c r="H522" s="26"/>
    </row>
    <row r="523" spans="1:8" ht="15.75" customHeight="1" x14ac:dyDescent="0.25">
      <c r="A523" s="32">
        <v>519</v>
      </c>
      <c r="B523" s="179"/>
      <c r="C523" s="179"/>
      <c r="D523" s="18" t="s">
        <v>866</v>
      </c>
      <c r="E523" s="26"/>
      <c r="F523" s="26"/>
      <c r="G523" s="26">
        <v>0.5</v>
      </c>
      <c r="H523" s="26"/>
    </row>
    <row r="524" spans="1:8" ht="15.75" customHeight="1" x14ac:dyDescent="0.25">
      <c r="A524" s="32">
        <v>520</v>
      </c>
      <c r="B524" s="179"/>
      <c r="C524" s="179"/>
      <c r="D524" s="18" t="s">
        <v>867</v>
      </c>
      <c r="E524" s="26"/>
      <c r="F524" s="26"/>
      <c r="G524" s="26">
        <v>1</v>
      </c>
      <c r="H524" s="26"/>
    </row>
    <row r="525" spans="1:8" ht="15.75" customHeight="1" x14ac:dyDescent="0.25">
      <c r="A525" s="32">
        <v>521</v>
      </c>
      <c r="B525" s="179"/>
      <c r="C525" s="179"/>
      <c r="D525" s="18" t="s">
        <v>868</v>
      </c>
      <c r="E525" s="26"/>
      <c r="F525" s="26"/>
      <c r="G525" s="26">
        <v>1.5</v>
      </c>
      <c r="H525" s="26"/>
    </row>
    <row r="526" spans="1:8" ht="15.75" customHeight="1" x14ac:dyDescent="0.25">
      <c r="A526" s="32">
        <v>522</v>
      </c>
      <c r="B526" s="179"/>
      <c r="C526" s="179"/>
      <c r="D526" s="18" t="s">
        <v>869</v>
      </c>
      <c r="E526" s="26"/>
      <c r="F526" s="26"/>
      <c r="G526" s="26">
        <v>1</v>
      </c>
      <c r="H526" s="26"/>
    </row>
    <row r="527" spans="1:8" ht="15.75" customHeight="1" x14ac:dyDescent="0.25">
      <c r="A527" s="32">
        <v>523</v>
      </c>
      <c r="B527" s="179"/>
      <c r="C527" s="179"/>
      <c r="D527" s="18" t="s">
        <v>870</v>
      </c>
      <c r="E527" s="26"/>
      <c r="F527" s="26"/>
      <c r="G527" s="26">
        <v>1</v>
      </c>
      <c r="H527" s="26"/>
    </row>
    <row r="528" spans="1:8" ht="15.75" customHeight="1" x14ac:dyDescent="0.25">
      <c r="A528" s="32">
        <v>524</v>
      </c>
      <c r="B528" s="179"/>
      <c r="C528" s="179"/>
      <c r="D528" s="18" t="s">
        <v>871</v>
      </c>
      <c r="E528" s="26"/>
      <c r="F528" s="26"/>
      <c r="G528" s="26">
        <v>1</v>
      </c>
      <c r="H528" s="26"/>
    </row>
    <row r="529" spans="1:8" ht="15.75" customHeight="1" x14ac:dyDescent="0.25">
      <c r="A529" s="32">
        <v>525</v>
      </c>
      <c r="B529" s="179"/>
      <c r="C529" s="179"/>
      <c r="D529" s="18" t="s">
        <v>872</v>
      </c>
      <c r="E529" s="26"/>
      <c r="F529" s="26"/>
      <c r="G529" s="26">
        <v>1</v>
      </c>
      <c r="H529" s="26"/>
    </row>
    <row r="530" spans="1:8" ht="15.75" customHeight="1" x14ac:dyDescent="0.25">
      <c r="A530" s="32">
        <v>526</v>
      </c>
      <c r="B530" s="179"/>
      <c r="C530" s="180"/>
      <c r="D530" s="18" t="s">
        <v>873</v>
      </c>
      <c r="E530" s="26"/>
      <c r="F530" s="26"/>
      <c r="G530" s="26">
        <v>1</v>
      </c>
      <c r="H530" s="26"/>
    </row>
    <row r="531" spans="1:8" ht="15.75" customHeight="1" x14ac:dyDescent="0.25">
      <c r="A531" s="32">
        <v>527</v>
      </c>
      <c r="B531" s="179"/>
      <c r="C531" s="178" t="s">
        <v>874</v>
      </c>
      <c r="D531" s="18" t="s">
        <v>875</v>
      </c>
      <c r="E531" s="26"/>
      <c r="F531" s="26"/>
      <c r="G531" s="26">
        <v>0.01</v>
      </c>
      <c r="H531" s="26"/>
    </row>
    <row r="532" spans="1:8" ht="15.75" customHeight="1" x14ac:dyDescent="0.25">
      <c r="A532" s="32">
        <v>528</v>
      </c>
      <c r="B532" s="179"/>
      <c r="C532" s="179"/>
      <c r="D532" s="18" t="s">
        <v>876</v>
      </c>
      <c r="E532" s="26"/>
      <c r="F532" s="26"/>
      <c r="G532" s="26">
        <v>0.1</v>
      </c>
      <c r="H532" s="26"/>
    </row>
    <row r="533" spans="1:8" ht="15.75" customHeight="1" x14ac:dyDescent="0.25">
      <c r="A533" s="32">
        <v>529</v>
      </c>
      <c r="B533" s="179"/>
      <c r="C533" s="179"/>
      <c r="D533" s="18" t="s">
        <v>877</v>
      </c>
      <c r="E533" s="26"/>
      <c r="F533" s="26"/>
      <c r="G533" s="26">
        <v>0.01</v>
      </c>
      <c r="H533" s="26"/>
    </row>
    <row r="534" spans="1:8" ht="15.75" customHeight="1" x14ac:dyDescent="0.25">
      <c r="A534" s="32">
        <v>530</v>
      </c>
      <c r="B534" s="179"/>
      <c r="C534" s="179"/>
      <c r="D534" s="18" t="s">
        <v>878</v>
      </c>
      <c r="E534" s="26"/>
      <c r="F534" s="26"/>
      <c r="G534" s="26">
        <v>0.01</v>
      </c>
      <c r="H534" s="26"/>
    </row>
    <row r="535" spans="1:8" ht="15.75" customHeight="1" x14ac:dyDescent="0.25">
      <c r="A535" s="32">
        <v>531</v>
      </c>
      <c r="B535" s="179"/>
      <c r="C535" s="179"/>
      <c r="D535" s="18" t="s">
        <v>879</v>
      </c>
      <c r="E535" s="26"/>
      <c r="F535" s="26"/>
      <c r="G535" s="26">
        <v>0.01</v>
      </c>
      <c r="H535" s="26"/>
    </row>
    <row r="536" spans="1:8" ht="15.75" customHeight="1" x14ac:dyDescent="0.25">
      <c r="A536" s="32">
        <v>532</v>
      </c>
      <c r="B536" s="179"/>
      <c r="C536" s="179"/>
      <c r="D536" s="18" t="s">
        <v>880</v>
      </c>
      <c r="E536" s="26"/>
      <c r="F536" s="26"/>
      <c r="G536" s="26">
        <v>0.02</v>
      </c>
      <c r="H536" s="26"/>
    </row>
    <row r="537" spans="1:8" ht="15.75" customHeight="1" x14ac:dyDescent="0.25">
      <c r="A537" s="32">
        <v>533</v>
      </c>
      <c r="B537" s="179"/>
      <c r="C537" s="179"/>
      <c r="D537" s="18" t="s">
        <v>881</v>
      </c>
      <c r="E537" s="26"/>
      <c r="F537" s="26"/>
      <c r="G537" s="26">
        <v>0.01</v>
      </c>
      <c r="H537" s="26"/>
    </row>
    <row r="538" spans="1:8" ht="15.75" customHeight="1" x14ac:dyDescent="0.25">
      <c r="A538" s="32">
        <v>534</v>
      </c>
      <c r="B538" s="179"/>
      <c r="C538" s="179"/>
      <c r="D538" s="18" t="s">
        <v>882</v>
      </c>
      <c r="E538" s="26"/>
      <c r="F538" s="26"/>
      <c r="G538" s="26">
        <v>0.01</v>
      </c>
      <c r="H538" s="26"/>
    </row>
    <row r="539" spans="1:8" ht="15.75" customHeight="1" x14ac:dyDescent="0.25">
      <c r="A539" s="32">
        <v>535</v>
      </c>
      <c r="B539" s="179"/>
      <c r="C539" s="179"/>
      <c r="D539" s="18" t="s">
        <v>883</v>
      </c>
      <c r="E539" s="26"/>
      <c r="F539" s="26"/>
      <c r="G539" s="26">
        <v>0.01</v>
      </c>
      <c r="H539" s="26"/>
    </row>
    <row r="540" spans="1:8" ht="15.75" customHeight="1" x14ac:dyDescent="0.25">
      <c r="A540" s="32">
        <v>536</v>
      </c>
      <c r="B540" s="179"/>
      <c r="C540" s="179"/>
      <c r="D540" s="18" t="s">
        <v>884</v>
      </c>
      <c r="E540" s="26"/>
      <c r="F540" s="26"/>
      <c r="G540" s="26">
        <v>0.01</v>
      </c>
      <c r="H540" s="26"/>
    </row>
    <row r="541" spans="1:8" ht="15.75" customHeight="1" x14ac:dyDescent="0.25">
      <c r="A541" s="32">
        <v>537</v>
      </c>
      <c r="B541" s="179"/>
      <c r="C541" s="179"/>
      <c r="D541" s="18" t="s">
        <v>885</v>
      </c>
      <c r="E541" s="26"/>
      <c r="F541" s="26"/>
      <c r="G541" s="26">
        <v>0.01</v>
      </c>
      <c r="H541" s="26"/>
    </row>
    <row r="542" spans="1:8" ht="15.75" customHeight="1" x14ac:dyDescent="0.25">
      <c r="A542" s="32">
        <v>538</v>
      </c>
      <c r="B542" s="179"/>
      <c r="C542" s="179"/>
      <c r="D542" s="18" t="s">
        <v>886</v>
      </c>
      <c r="E542" s="26"/>
      <c r="F542" s="26"/>
      <c r="G542" s="26">
        <v>0.01</v>
      </c>
      <c r="H542" s="26"/>
    </row>
    <row r="543" spans="1:8" ht="15.75" customHeight="1" x14ac:dyDescent="0.25">
      <c r="A543" s="32">
        <v>539</v>
      </c>
      <c r="B543" s="179"/>
      <c r="C543" s="179"/>
      <c r="D543" s="18" t="s">
        <v>713</v>
      </c>
      <c r="E543" s="26"/>
      <c r="F543" s="26"/>
      <c r="G543" s="26">
        <v>0.01</v>
      </c>
      <c r="H543" s="26"/>
    </row>
    <row r="544" spans="1:8" ht="15.75" customHeight="1" x14ac:dyDescent="0.25">
      <c r="A544" s="32">
        <v>540</v>
      </c>
      <c r="B544" s="179"/>
      <c r="C544" s="179"/>
      <c r="D544" s="18" t="s">
        <v>887</v>
      </c>
      <c r="E544" s="26"/>
      <c r="F544" s="26"/>
      <c r="G544" s="26">
        <v>0.01</v>
      </c>
      <c r="H544" s="26"/>
    </row>
    <row r="545" spans="1:8" ht="15.75" customHeight="1" x14ac:dyDescent="0.25">
      <c r="A545" s="32">
        <v>541</v>
      </c>
      <c r="B545" s="179"/>
      <c r="C545" s="179"/>
      <c r="D545" s="18" t="s">
        <v>888</v>
      </c>
      <c r="E545" s="26"/>
      <c r="F545" s="26"/>
      <c r="G545" s="26">
        <v>0.01</v>
      </c>
      <c r="H545" s="26"/>
    </row>
    <row r="546" spans="1:8" ht="15.75" customHeight="1" x14ac:dyDescent="0.25">
      <c r="A546" s="32">
        <v>542</v>
      </c>
      <c r="B546" s="179"/>
      <c r="C546" s="179"/>
      <c r="D546" s="18" t="s">
        <v>889</v>
      </c>
      <c r="E546" s="26"/>
      <c r="F546" s="26"/>
      <c r="G546" s="26">
        <v>0.02</v>
      </c>
      <c r="H546" s="26"/>
    </row>
    <row r="547" spans="1:8" ht="15.75" customHeight="1" x14ac:dyDescent="0.25">
      <c r="A547" s="32">
        <v>543</v>
      </c>
      <c r="B547" s="179"/>
      <c r="C547" s="179"/>
      <c r="D547" s="18" t="s">
        <v>890</v>
      </c>
      <c r="E547" s="26"/>
      <c r="F547" s="26"/>
      <c r="G547" s="26">
        <v>0.01</v>
      </c>
      <c r="H547" s="26"/>
    </row>
    <row r="548" spans="1:8" ht="15.75" customHeight="1" x14ac:dyDescent="0.25">
      <c r="A548" s="32">
        <v>544</v>
      </c>
      <c r="B548" s="179"/>
      <c r="C548" s="179"/>
      <c r="D548" s="18" t="s">
        <v>891</v>
      </c>
      <c r="E548" s="26"/>
      <c r="F548" s="26"/>
      <c r="G548" s="26">
        <v>0.02</v>
      </c>
      <c r="H548" s="26"/>
    </row>
    <row r="549" spans="1:8" ht="15.75" customHeight="1" x14ac:dyDescent="0.25">
      <c r="A549" s="32">
        <v>545</v>
      </c>
      <c r="B549" s="179"/>
      <c r="C549" s="179"/>
      <c r="D549" s="18" t="s">
        <v>892</v>
      </c>
      <c r="E549" s="26"/>
      <c r="F549" s="26"/>
      <c r="G549" s="26">
        <v>0.01</v>
      </c>
      <c r="H549" s="26"/>
    </row>
    <row r="550" spans="1:8" ht="15.75" customHeight="1" x14ac:dyDescent="0.25">
      <c r="A550" s="32">
        <v>546</v>
      </c>
      <c r="B550" s="179"/>
      <c r="C550" s="179"/>
      <c r="D550" s="18" t="s">
        <v>893</v>
      </c>
      <c r="E550" s="26"/>
      <c r="F550" s="26"/>
      <c r="G550" s="26">
        <v>0.01</v>
      </c>
      <c r="H550" s="26"/>
    </row>
    <row r="551" spans="1:8" ht="15.75" customHeight="1" x14ac:dyDescent="0.25">
      <c r="A551" s="32">
        <v>547</v>
      </c>
      <c r="B551" s="179"/>
      <c r="C551" s="179"/>
      <c r="D551" s="18" t="s">
        <v>894</v>
      </c>
      <c r="E551" s="26"/>
      <c r="F551" s="26"/>
      <c r="G551" s="26">
        <v>0.01</v>
      </c>
      <c r="H551" s="26"/>
    </row>
    <row r="552" spans="1:8" ht="15.75" customHeight="1" x14ac:dyDescent="0.25">
      <c r="A552" s="32">
        <v>548</v>
      </c>
      <c r="B552" s="179"/>
      <c r="C552" s="179"/>
      <c r="D552" s="18" t="s">
        <v>895</v>
      </c>
      <c r="E552" s="26"/>
      <c r="F552" s="26"/>
      <c r="G552" s="26">
        <v>0.01</v>
      </c>
      <c r="H552" s="26"/>
    </row>
    <row r="553" spans="1:8" ht="15.75" customHeight="1" x14ac:dyDescent="0.25">
      <c r="A553" s="32">
        <v>549</v>
      </c>
      <c r="B553" s="179"/>
      <c r="C553" s="179"/>
      <c r="D553" s="18" t="s">
        <v>410</v>
      </c>
      <c r="E553" s="26"/>
      <c r="F553" s="26"/>
      <c r="G553" s="26">
        <v>0.02</v>
      </c>
      <c r="H553" s="26"/>
    </row>
    <row r="554" spans="1:8" ht="15.75" customHeight="1" x14ac:dyDescent="0.25">
      <c r="A554" s="32">
        <v>550</v>
      </c>
      <c r="B554" s="179"/>
      <c r="C554" s="179"/>
      <c r="D554" s="18" t="s">
        <v>896</v>
      </c>
      <c r="E554" s="26"/>
      <c r="F554" s="26"/>
      <c r="G554" s="26">
        <v>0.01</v>
      </c>
      <c r="H554" s="26"/>
    </row>
    <row r="555" spans="1:8" ht="15.75" customHeight="1" x14ac:dyDescent="0.25">
      <c r="A555" s="32">
        <v>551</v>
      </c>
      <c r="B555" s="179"/>
      <c r="C555" s="179"/>
      <c r="D555" s="18" t="s">
        <v>897</v>
      </c>
      <c r="E555" s="26"/>
      <c r="F555" s="26"/>
      <c r="G555" s="26">
        <v>0.01</v>
      </c>
      <c r="H555" s="26"/>
    </row>
    <row r="556" spans="1:8" ht="15.75" customHeight="1" x14ac:dyDescent="0.25">
      <c r="A556" s="32">
        <v>552</v>
      </c>
      <c r="B556" s="179"/>
      <c r="C556" s="179"/>
      <c r="D556" s="18" t="s">
        <v>898</v>
      </c>
      <c r="E556" s="26"/>
      <c r="F556" s="26"/>
      <c r="G556" s="26">
        <v>0.01</v>
      </c>
      <c r="H556" s="26"/>
    </row>
    <row r="557" spans="1:8" ht="15.75" customHeight="1" x14ac:dyDescent="0.25">
      <c r="A557" s="32">
        <v>553</v>
      </c>
      <c r="B557" s="179"/>
      <c r="C557" s="179"/>
      <c r="D557" s="18" t="s">
        <v>899</v>
      </c>
      <c r="E557" s="26"/>
      <c r="F557" s="26"/>
      <c r="G557" s="26">
        <v>0.01</v>
      </c>
      <c r="H557" s="26"/>
    </row>
    <row r="558" spans="1:8" ht="15.75" customHeight="1" x14ac:dyDescent="0.25">
      <c r="A558" s="32">
        <v>554</v>
      </c>
      <c r="B558" s="179"/>
      <c r="C558" s="179"/>
      <c r="D558" s="18" t="s">
        <v>900</v>
      </c>
      <c r="E558" s="26"/>
      <c r="F558" s="26"/>
      <c r="G558" s="26">
        <v>0.01</v>
      </c>
      <c r="H558" s="26"/>
    </row>
    <row r="559" spans="1:8" ht="15.75" customHeight="1" x14ac:dyDescent="0.25">
      <c r="A559" s="32">
        <v>555</v>
      </c>
      <c r="B559" s="179"/>
      <c r="C559" s="180"/>
      <c r="D559" s="18" t="s">
        <v>901</v>
      </c>
      <c r="E559" s="26"/>
      <c r="F559" s="26"/>
      <c r="G559" s="26">
        <v>0.01</v>
      </c>
      <c r="H559" s="26"/>
    </row>
    <row r="560" spans="1:8" ht="15.75" customHeight="1" x14ac:dyDescent="0.25">
      <c r="A560" s="32">
        <v>556</v>
      </c>
      <c r="B560" s="179"/>
      <c r="C560" s="178" t="s">
        <v>902</v>
      </c>
      <c r="D560" s="18" t="s">
        <v>903</v>
      </c>
      <c r="E560" s="26"/>
      <c r="F560" s="26"/>
      <c r="G560" s="26"/>
      <c r="H560" s="26"/>
    </row>
    <row r="561" spans="1:8" ht="15.75" customHeight="1" x14ac:dyDescent="0.25">
      <c r="A561" s="32">
        <v>557</v>
      </c>
      <c r="B561" s="179"/>
      <c r="C561" s="179"/>
      <c r="D561" s="18" t="s">
        <v>904</v>
      </c>
      <c r="E561" s="26"/>
      <c r="F561" s="26"/>
      <c r="G561" s="26"/>
      <c r="H561" s="26"/>
    </row>
    <row r="562" spans="1:8" ht="15.75" customHeight="1" x14ac:dyDescent="0.25">
      <c r="A562" s="32">
        <v>558</v>
      </c>
      <c r="B562" s="179"/>
      <c r="C562" s="179"/>
      <c r="D562" s="18" t="s">
        <v>905</v>
      </c>
      <c r="E562" s="26"/>
      <c r="F562" s="26"/>
      <c r="G562" s="26"/>
      <c r="H562" s="26"/>
    </row>
    <row r="563" spans="1:8" ht="15.75" customHeight="1" x14ac:dyDescent="0.25">
      <c r="A563" s="32">
        <v>559</v>
      </c>
      <c r="B563" s="179"/>
      <c r="C563" s="179"/>
      <c r="D563" s="18" t="s">
        <v>906</v>
      </c>
      <c r="E563" s="26"/>
      <c r="F563" s="26"/>
      <c r="G563" s="26"/>
      <c r="H563" s="26"/>
    </row>
    <row r="564" spans="1:8" ht="15.75" customHeight="1" x14ac:dyDescent="0.25">
      <c r="A564" s="32">
        <v>560</v>
      </c>
      <c r="B564" s="179"/>
      <c r="C564" s="179"/>
      <c r="D564" s="18" t="s">
        <v>907</v>
      </c>
      <c r="E564" s="26"/>
      <c r="F564" s="26"/>
      <c r="G564" s="26"/>
      <c r="H564" s="26"/>
    </row>
    <row r="565" spans="1:8" ht="15.75" customHeight="1" x14ac:dyDescent="0.25">
      <c r="A565" s="32">
        <v>561</v>
      </c>
      <c r="B565" s="179"/>
      <c r="C565" s="179"/>
      <c r="D565" s="18" t="s">
        <v>908</v>
      </c>
      <c r="E565" s="26"/>
      <c r="F565" s="26"/>
      <c r="G565" s="26"/>
      <c r="H565" s="26"/>
    </row>
    <row r="566" spans="1:8" ht="15.75" customHeight="1" x14ac:dyDescent="0.25">
      <c r="A566" s="32">
        <v>562</v>
      </c>
      <c r="B566" s="179"/>
      <c r="C566" s="179"/>
      <c r="D566" s="18" t="s">
        <v>909</v>
      </c>
      <c r="E566" s="26"/>
      <c r="F566" s="26"/>
      <c r="G566" s="26"/>
      <c r="H566" s="26"/>
    </row>
    <row r="567" spans="1:8" ht="15.75" customHeight="1" x14ac:dyDescent="0.25">
      <c r="A567" s="32">
        <v>563</v>
      </c>
      <c r="B567" s="179"/>
      <c r="C567" s="179"/>
      <c r="D567" s="18" t="s">
        <v>910</v>
      </c>
      <c r="E567" s="26"/>
      <c r="F567" s="26"/>
      <c r="G567" s="26"/>
      <c r="H567" s="26"/>
    </row>
    <row r="568" spans="1:8" ht="15.75" customHeight="1" x14ac:dyDescent="0.25">
      <c r="A568" s="32">
        <v>564</v>
      </c>
      <c r="B568" s="179"/>
      <c r="C568" s="179"/>
      <c r="D568" s="18" t="s">
        <v>911</v>
      </c>
      <c r="E568" s="26"/>
      <c r="F568" s="26"/>
      <c r="G568" s="26"/>
      <c r="H568" s="26"/>
    </row>
    <row r="569" spans="1:8" ht="15.75" customHeight="1" x14ac:dyDescent="0.25">
      <c r="A569" s="32">
        <v>565</v>
      </c>
      <c r="B569" s="179"/>
      <c r="C569" s="179"/>
      <c r="D569" s="18" t="s">
        <v>912</v>
      </c>
      <c r="E569" s="26"/>
      <c r="F569" s="26"/>
      <c r="G569" s="26"/>
      <c r="H569" s="26"/>
    </row>
    <row r="570" spans="1:8" ht="15.75" customHeight="1" x14ac:dyDescent="0.25">
      <c r="A570" s="32">
        <v>566</v>
      </c>
      <c r="B570" s="179"/>
      <c r="C570" s="180"/>
      <c r="D570" s="18" t="s">
        <v>385</v>
      </c>
      <c r="E570" s="26"/>
      <c r="F570" s="26"/>
      <c r="G570" s="26"/>
      <c r="H570" s="26"/>
    </row>
    <row r="571" spans="1:8" ht="15.75" customHeight="1" x14ac:dyDescent="0.25">
      <c r="A571" s="32">
        <v>567</v>
      </c>
      <c r="B571" s="179"/>
      <c r="C571" s="178" t="s">
        <v>913</v>
      </c>
      <c r="D571" s="18" t="s">
        <v>914</v>
      </c>
      <c r="E571" s="26"/>
      <c r="F571" s="26"/>
      <c r="G571" s="26">
        <v>0.5</v>
      </c>
      <c r="H571" s="26"/>
    </row>
    <row r="572" spans="1:8" ht="15.75" customHeight="1" x14ac:dyDescent="0.25">
      <c r="A572" s="32">
        <v>568</v>
      </c>
      <c r="B572" s="179"/>
      <c r="C572" s="179"/>
      <c r="D572" s="18" t="s">
        <v>905</v>
      </c>
      <c r="E572" s="26"/>
      <c r="F572" s="26"/>
      <c r="G572" s="26">
        <v>0.5</v>
      </c>
      <c r="H572" s="26"/>
    </row>
    <row r="573" spans="1:8" ht="15.75" customHeight="1" x14ac:dyDescent="0.25">
      <c r="A573" s="32">
        <v>569</v>
      </c>
      <c r="B573" s="179"/>
      <c r="C573" s="179"/>
      <c r="D573" s="18" t="s">
        <v>915</v>
      </c>
      <c r="E573" s="26"/>
      <c r="F573" s="26"/>
      <c r="G573" s="26">
        <v>0.5</v>
      </c>
      <c r="H573" s="26"/>
    </row>
    <row r="574" spans="1:8" ht="15.75" customHeight="1" x14ac:dyDescent="0.25">
      <c r="A574" s="32">
        <v>570</v>
      </c>
      <c r="B574" s="179"/>
      <c r="C574" s="179"/>
      <c r="D574" s="18" t="s">
        <v>609</v>
      </c>
      <c r="E574" s="26"/>
      <c r="F574" s="26"/>
      <c r="G574" s="26">
        <v>0.5</v>
      </c>
      <c r="H574" s="26"/>
    </row>
    <row r="575" spans="1:8" ht="15.75" customHeight="1" x14ac:dyDescent="0.25">
      <c r="A575" s="32">
        <v>571</v>
      </c>
      <c r="B575" s="179"/>
      <c r="C575" s="179"/>
      <c r="D575" s="18" t="s">
        <v>916</v>
      </c>
      <c r="E575" s="26"/>
      <c r="F575" s="26"/>
      <c r="G575" s="26">
        <v>0.5</v>
      </c>
      <c r="H575" s="26"/>
    </row>
    <row r="576" spans="1:8" ht="15.75" customHeight="1" x14ac:dyDescent="0.25">
      <c r="A576" s="32">
        <v>572</v>
      </c>
      <c r="B576" s="179"/>
      <c r="C576" s="179"/>
      <c r="D576" s="18" t="s">
        <v>917</v>
      </c>
      <c r="E576" s="26"/>
      <c r="F576" s="26"/>
      <c r="G576" s="26">
        <v>0.5</v>
      </c>
      <c r="H576" s="26"/>
    </row>
    <row r="577" spans="1:8" ht="15.75" customHeight="1" x14ac:dyDescent="0.25">
      <c r="A577" s="32">
        <v>573</v>
      </c>
      <c r="B577" s="179"/>
      <c r="C577" s="179"/>
      <c r="D577" s="18" t="s">
        <v>616</v>
      </c>
      <c r="E577" s="26"/>
      <c r="F577" s="26"/>
      <c r="G577" s="26">
        <v>1.25</v>
      </c>
      <c r="H577" s="26"/>
    </row>
    <row r="578" spans="1:8" ht="15.75" customHeight="1" x14ac:dyDescent="0.25">
      <c r="A578" s="32">
        <v>574</v>
      </c>
      <c r="B578" s="179"/>
      <c r="C578" s="180"/>
      <c r="D578" s="18" t="s">
        <v>918</v>
      </c>
      <c r="E578" s="26"/>
      <c r="F578" s="26"/>
      <c r="G578" s="26">
        <v>0.5</v>
      </c>
      <c r="H578" s="26"/>
    </row>
    <row r="579" spans="1:8" ht="15.75" customHeight="1" x14ac:dyDescent="0.25">
      <c r="A579" s="32">
        <v>575</v>
      </c>
      <c r="B579" s="179"/>
      <c r="C579" s="178" t="s">
        <v>919</v>
      </c>
      <c r="D579" s="18" t="s">
        <v>920</v>
      </c>
      <c r="E579" s="26"/>
      <c r="F579" s="26"/>
      <c r="G579" s="26">
        <v>0.75</v>
      </c>
      <c r="H579" s="26"/>
    </row>
    <row r="580" spans="1:8" ht="15.75" customHeight="1" x14ac:dyDescent="0.25">
      <c r="A580" s="32">
        <v>576</v>
      </c>
      <c r="B580" s="179"/>
      <c r="C580" s="179"/>
      <c r="D580" s="18" t="s">
        <v>921</v>
      </c>
      <c r="E580" s="26"/>
      <c r="F580" s="26"/>
      <c r="G580" s="26">
        <v>0.9</v>
      </c>
      <c r="H580" s="26"/>
    </row>
    <row r="581" spans="1:8" ht="15.75" customHeight="1" x14ac:dyDescent="0.25">
      <c r="A581" s="32">
        <v>577</v>
      </c>
      <c r="B581" s="179"/>
      <c r="C581" s="179"/>
      <c r="D581" s="18" t="s">
        <v>922</v>
      </c>
      <c r="E581" s="26"/>
      <c r="F581" s="26"/>
      <c r="G581" s="26">
        <v>0.5</v>
      </c>
      <c r="H581" s="26"/>
    </row>
    <row r="582" spans="1:8" ht="15.75" customHeight="1" x14ac:dyDescent="0.25">
      <c r="A582" s="32">
        <v>578</v>
      </c>
      <c r="B582" s="179"/>
      <c r="C582" s="179"/>
      <c r="D582" s="18" t="s">
        <v>923</v>
      </c>
      <c r="E582" s="26"/>
      <c r="F582" s="26"/>
      <c r="G582" s="26">
        <v>0.6</v>
      </c>
      <c r="H582" s="26"/>
    </row>
    <row r="583" spans="1:8" ht="15.75" customHeight="1" x14ac:dyDescent="0.25">
      <c r="A583" s="32">
        <v>579</v>
      </c>
      <c r="B583" s="179"/>
      <c r="C583" s="179"/>
      <c r="D583" s="18" t="s">
        <v>924</v>
      </c>
      <c r="E583" s="26"/>
      <c r="F583" s="26"/>
      <c r="G583" s="26">
        <v>0.85</v>
      </c>
      <c r="H583" s="26"/>
    </row>
    <row r="584" spans="1:8" ht="15.75" customHeight="1" x14ac:dyDescent="0.25">
      <c r="A584" s="32">
        <v>580</v>
      </c>
      <c r="B584" s="179"/>
      <c r="C584" s="179"/>
      <c r="D584" s="18" t="s">
        <v>925</v>
      </c>
      <c r="E584" s="26"/>
      <c r="F584" s="26"/>
      <c r="G584" s="26">
        <v>0.85</v>
      </c>
      <c r="H584" s="26"/>
    </row>
    <row r="585" spans="1:8" ht="15.75" customHeight="1" x14ac:dyDescent="0.25">
      <c r="A585" s="32">
        <v>581</v>
      </c>
      <c r="B585" s="179"/>
      <c r="C585" s="179"/>
      <c r="D585" s="18" t="s">
        <v>926</v>
      </c>
      <c r="E585" s="26"/>
      <c r="F585" s="26"/>
      <c r="G585" s="26">
        <v>0.25</v>
      </c>
      <c r="H585" s="26"/>
    </row>
    <row r="586" spans="1:8" ht="15.75" customHeight="1" x14ac:dyDescent="0.25">
      <c r="A586" s="32">
        <v>582</v>
      </c>
      <c r="B586" s="179"/>
      <c r="C586" s="179"/>
      <c r="D586" s="18" t="s">
        <v>917</v>
      </c>
      <c r="E586" s="26"/>
      <c r="F586" s="26"/>
      <c r="G586" s="26">
        <v>0.5</v>
      </c>
      <c r="H586" s="26"/>
    </row>
    <row r="587" spans="1:8" ht="15.75" customHeight="1" x14ac:dyDescent="0.25">
      <c r="A587" s="32">
        <v>583</v>
      </c>
      <c r="B587" s="179"/>
      <c r="C587" s="179"/>
      <c r="D587" s="18" t="s">
        <v>927</v>
      </c>
      <c r="E587" s="26"/>
      <c r="F587" s="26"/>
      <c r="G587" s="26">
        <v>0.75</v>
      </c>
      <c r="H587" s="26"/>
    </row>
    <row r="588" spans="1:8" ht="15.75" customHeight="1" x14ac:dyDescent="0.25">
      <c r="A588" s="32">
        <v>584</v>
      </c>
      <c r="B588" s="179"/>
      <c r="C588" s="179"/>
      <c r="D588" s="18" t="s">
        <v>546</v>
      </c>
      <c r="E588" s="26"/>
      <c r="F588" s="26"/>
      <c r="G588" s="26">
        <v>0.6</v>
      </c>
      <c r="H588" s="26"/>
    </row>
    <row r="589" spans="1:8" ht="15.75" customHeight="1" x14ac:dyDescent="0.25">
      <c r="A589" s="32">
        <v>585</v>
      </c>
      <c r="B589" s="179"/>
      <c r="C589" s="179"/>
      <c r="D589" s="18" t="s">
        <v>928</v>
      </c>
      <c r="E589" s="26"/>
      <c r="F589" s="26"/>
      <c r="G589" s="26">
        <v>0.6</v>
      </c>
      <c r="H589" s="26"/>
    </row>
    <row r="590" spans="1:8" ht="15.75" customHeight="1" x14ac:dyDescent="0.25">
      <c r="A590" s="32">
        <v>586</v>
      </c>
      <c r="B590" s="179"/>
      <c r="C590" s="179"/>
      <c r="D590" s="18" t="s">
        <v>929</v>
      </c>
      <c r="E590" s="26"/>
      <c r="F590" s="26"/>
      <c r="G590" s="26">
        <v>1.2</v>
      </c>
      <c r="H590" s="26"/>
    </row>
    <row r="591" spans="1:8" ht="15.75" customHeight="1" x14ac:dyDescent="0.25">
      <c r="A591" s="32">
        <v>587</v>
      </c>
      <c r="B591" s="179"/>
      <c r="C591" s="179"/>
      <c r="D591" s="18" t="s">
        <v>930</v>
      </c>
      <c r="E591" s="26"/>
      <c r="F591" s="26"/>
      <c r="G591" s="26">
        <v>1</v>
      </c>
      <c r="H591" s="26"/>
    </row>
    <row r="592" spans="1:8" ht="15.75" customHeight="1" x14ac:dyDescent="0.25">
      <c r="A592" s="32">
        <v>588</v>
      </c>
      <c r="B592" s="180"/>
      <c r="C592" s="180"/>
      <c r="D592" s="18" t="s">
        <v>931</v>
      </c>
      <c r="E592" s="26"/>
      <c r="F592" s="26"/>
      <c r="G592" s="26">
        <v>0.6</v>
      </c>
      <c r="H592" s="26"/>
    </row>
    <row r="593" spans="1:8" ht="15.75" customHeight="1" x14ac:dyDescent="0.25">
      <c r="A593" s="32">
        <v>589</v>
      </c>
      <c r="B593" s="178" t="s">
        <v>71</v>
      </c>
      <c r="C593" s="178" t="s">
        <v>932</v>
      </c>
      <c r="D593" s="18" t="s">
        <v>933</v>
      </c>
      <c r="E593" s="26"/>
      <c r="F593" s="26"/>
      <c r="G593" s="26">
        <v>0.35</v>
      </c>
      <c r="H593" s="26"/>
    </row>
    <row r="594" spans="1:8" ht="15.75" customHeight="1" x14ac:dyDescent="0.25">
      <c r="A594" s="32">
        <v>590</v>
      </c>
      <c r="B594" s="179"/>
      <c r="C594" s="179"/>
      <c r="D594" s="18" t="s">
        <v>934</v>
      </c>
      <c r="E594" s="26"/>
      <c r="F594" s="26"/>
      <c r="G594" s="26">
        <v>0.5</v>
      </c>
      <c r="H594" s="26"/>
    </row>
    <row r="595" spans="1:8" ht="15.75" customHeight="1" x14ac:dyDescent="0.25">
      <c r="A595" s="32">
        <v>591</v>
      </c>
      <c r="B595" s="179"/>
      <c r="C595" s="179"/>
      <c r="D595" s="18" t="s">
        <v>935</v>
      </c>
      <c r="E595" s="26"/>
      <c r="F595" s="26"/>
      <c r="G595" s="26">
        <v>0.5</v>
      </c>
      <c r="H595" s="26"/>
    </row>
    <row r="596" spans="1:8" ht="15.75" customHeight="1" x14ac:dyDescent="0.25">
      <c r="A596" s="32">
        <v>592</v>
      </c>
      <c r="B596" s="179"/>
      <c r="C596" s="179"/>
      <c r="D596" s="18" t="s">
        <v>936</v>
      </c>
      <c r="E596" s="26"/>
      <c r="F596" s="26"/>
      <c r="G596" s="26">
        <v>0.5</v>
      </c>
      <c r="H596" s="26"/>
    </row>
    <row r="597" spans="1:8" ht="15.75" customHeight="1" x14ac:dyDescent="0.25">
      <c r="A597" s="32">
        <v>593</v>
      </c>
      <c r="B597" s="179"/>
      <c r="C597" s="179"/>
      <c r="D597" s="18" t="s">
        <v>937</v>
      </c>
      <c r="E597" s="26"/>
      <c r="F597" s="26"/>
      <c r="G597" s="26">
        <v>0.5</v>
      </c>
      <c r="H597" s="26"/>
    </row>
    <row r="598" spans="1:8" ht="15.75" customHeight="1" x14ac:dyDescent="0.25">
      <c r="A598" s="32">
        <v>594</v>
      </c>
      <c r="B598" s="179"/>
      <c r="C598" s="179"/>
      <c r="D598" s="18" t="s">
        <v>938</v>
      </c>
      <c r="E598" s="26"/>
      <c r="F598" s="26"/>
      <c r="G598" s="26">
        <v>0.5</v>
      </c>
      <c r="H598" s="26"/>
    </row>
    <row r="599" spans="1:8" ht="15.75" customHeight="1" x14ac:dyDescent="0.25">
      <c r="A599" s="32">
        <v>595</v>
      </c>
      <c r="B599" s="179"/>
      <c r="C599" s="179"/>
      <c r="D599" s="18" t="s">
        <v>939</v>
      </c>
      <c r="E599" s="26"/>
      <c r="F599" s="26"/>
      <c r="G599" s="26">
        <v>0.35</v>
      </c>
      <c r="H599" s="26"/>
    </row>
    <row r="600" spans="1:8" ht="15.75" customHeight="1" x14ac:dyDescent="0.25">
      <c r="A600" s="32">
        <v>596</v>
      </c>
      <c r="B600" s="179"/>
      <c r="C600" s="180"/>
      <c r="D600" s="18" t="s">
        <v>940</v>
      </c>
      <c r="E600" s="26"/>
      <c r="F600" s="26"/>
      <c r="G600" s="26">
        <v>0.5</v>
      </c>
      <c r="H600" s="26"/>
    </row>
    <row r="601" spans="1:8" ht="15.75" customHeight="1" x14ac:dyDescent="0.25">
      <c r="A601" s="32">
        <v>597</v>
      </c>
      <c r="B601" s="179"/>
      <c r="C601" s="178" t="s">
        <v>941</v>
      </c>
      <c r="D601" s="18" t="s">
        <v>942</v>
      </c>
      <c r="E601" s="26"/>
      <c r="F601" s="26"/>
      <c r="G601" s="26">
        <v>0.5</v>
      </c>
      <c r="H601" s="26"/>
    </row>
    <row r="602" spans="1:8" ht="15.75" customHeight="1" x14ac:dyDescent="0.25">
      <c r="A602" s="32">
        <v>598</v>
      </c>
      <c r="B602" s="179"/>
      <c r="C602" s="179"/>
      <c r="D602" s="18" t="s">
        <v>943</v>
      </c>
      <c r="E602" s="26"/>
      <c r="F602" s="26"/>
      <c r="G602" s="26">
        <v>0.5</v>
      </c>
      <c r="H602" s="26"/>
    </row>
    <row r="603" spans="1:8" ht="15.75" customHeight="1" x14ac:dyDescent="0.25">
      <c r="A603" s="32">
        <v>599</v>
      </c>
      <c r="B603" s="179"/>
      <c r="C603" s="179"/>
      <c r="D603" s="18" t="s">
        <v>944</v>
      </c>
      <c r="E603" s="26"/>
      <c r="F603" s="26"/>
      <c r="G603" s="26">
        <v>0.5</v>
      </c>
      <c r="H603" s="26"/>
    </row>
    <row r="604" spans="1:8" ht="15.75" customHeight="1" x14ac:dyDescent="0.25">
      <c r="A604" s="32">
        <v>600</v>
      </c>
      <c r="B604" s="179"/>
      <c r="C604" s="179"/>
      <c r="D604" s="18" t="s">
        <v>945</v>
      </c>
      <c r="E604" s="26"/>
      <c r="F604" s="26"/>
      <c r="G604" s="26">
        <v>0.25</v>
      </c>
      <c r="H604" s="26"/>
    </row>
    <row r="605" spans="1:8" ht="15.75" customHeight="1" x14ac:dyDescent="0.25">
      <c r="A605" s="32">
        <v>601</v>
      </c>
      <c r="B605" s="179"/>
      <c r="C605" s="179"/>
      <c r="D605" s="18" t="s">
        <v>946</v>
      </c>
      <c r="E605" s="26"/>
      <c r="F605" s="26"/>
      <c r="G605" s="26">
        <v>0.5</v>
      </c>
      <c r="H605" s="26"/>
    </row>
    <row r="606" spans="1:8" ht="15.75" customHeight="1" x14ac:dyDescent="0.25">
      <c r="A606" s="32">
        <v>602</v>
      </c>
      <c r="B606" s="179"/>
      <c r="C606" s="179"/>
      <c r="D606" s="18" t="s">
        <v>683</v>
      </c>
      <c r="E606" s="26"/>
      <c r="F606" s="26"/>
      <c r="G606" s="26">
        <v>0.5</v>
      </c>
      <c r="H606" s="26"/>
    </row>
    <row r="607" spans="1:8" ht="15.75" customHeight="1" x14ac:dyDescent="0.25">
      <c r="A607" s="32">
        <v>603</v>
      </c>
      <c r="B607" s="179"/>
      <c r="C607" s="179"/>
      <c r="D607" s="18" t="s">
        <v>637</v>
      </c>
      <c r="E607" s="26"/>
      <c r="F607" s="26"/>
      <c r="G607" s="26">
        <v>1</v>
      </c>
      <c r="H607" s="26"/>
    </row>
    <row r="608" spans="1:8" ht="15.75" customHeight="1" x14ac:dyDescent="0.25">
      <c r="A608" s="32">
        <v>604</v>
      </c>
      <c r="B608" s="179"/>
      <c r="C608" s="179"/>
      <c r="D608" s="18" t="s">
        <v>947</v>
      </c>
      <c r="E608" s="26"/>
      <c r="F608" s="26"/>
      <c r="G608" s="26">
        <v>0.5</v>
      </c>
      <c r="H608" s="26"/>
    </row>
    <row r="609" spans="1:8" ht="15.75" customHeight="1" x14ac:dyDescent="0.25">
      <c r="A609" s="32">
        <v>605</v>
      </c>
      <c r="B609" s="179"/>
      <c r="C609" s="179"/>
      <c r="D609" s="18" t="s">
        <v>478</v>
      </c>
      <c r="E609" s="26"/>
      <c r="F609" s="26"/>
      <c r="G609" s="26">
        <v>0.5</v>
      </c>
      <c r="H609" s="26"/>
    </row>
    <row r="610" spans="1:8" ht="15.75" customHeight="1" x14ac:dyDescent="0.25">
      <c r="A610" s="32">
        <v>606</v>
      </c>
      <c r="B610" s="179"/>
      <c r="C610" s="179"/>
      <c r="D610" s="18" t="s">
        <v>948</v>
      </c>
      <c r="E610" s="26"/>
      <c r="F610" s="26"/>
      <c r="G610" s="26">
        <v>1</v>
      </c>
      <c r="H610" s="26"/>
    </row>
    <row r="611" spans="1:8" ht="15.75" customHeight="1" x14ac:dyDescent="0.25">
      <c r="A611" s="32">
        <v>607</v>
      </c>
      <c r="B611" s="179"/>
      <c r="C611" s="179"/>
      <c r="D611" s="18" t="s">
        <v>949</v>
      </c>
      <c r="E611" s="26"/>
      <c r="F611" s="26"/>
      <c r="G611" s="26">
        <v>0.5</v>
      </c>
      <c r="H611" s="26"/>
    </row>
    <row r="612" spans="1:8" ht="15.75" customHeight="1" x14ac:dyDescent="0.25">
      <c r="A612" s="32">
        <v>608</v>
      </c>
      <c r="B612" s="179"/>
      <c r="C612" s="179"/>
      <c r="D612" s="18" t="s">
        <v>349</v>
      </c>
      <c r="E612" s="26"/>
      <c r="F612" s="26"/>
      <c r="G612" s="26">
        <v>0.3</v>
      </c>
      <c r="H612" s="26"/>
    </row>
    <row r="613" spans="1:8" ht="15.75" customHeight="1" x14ac:dyDescent="0.25">
      <c r="A613" s="32">
        <v>609</v>
      </c>
      <c r="B613" s="179"/>
      <c r="C613" s="179"/>
      <c r="D613" s="18" t="s">
        <v>950</v>
      </c>
      <c r="E613" s="26"/>
      <c r="F613" s="26"/>
      <c r="G613" s="26">
        <v>0.6</v>
      </c>
      <c r="H613" s="26"/>
    </row>
    <row r="614" spans="1:8" ht="15.75" customHeight="1" x14ac:dyDescent="0.25">
      <c r="A614" s="32">
        <v>610</v>
      </c>
      <c r="B614" s="179"/>
      <c r="C614" s="180"/>
      <c r="D614" s="18" t="s">
        <v>831</v>
      </c>
      <c r="E614" s="26"/>
      <c r="F614" s="26"/>
      <c r="G614" s="26">
        <v>0.15</v>
      </c>
      <c r="H614" s="26"/>
    </row>
    <row r="615" spans="1:8" ht="15.75" customHeight="1" x14ac:dyDescent="0.25">
      <c r="A615" s="32">
        <v>611</v>
      </c>
      <c r="B615" s="179"/>
      <c r="C615" s="178" t="s">
        <v>951</v>
      </c>
      <c r="D615" s="18" t="s">
        <v>952</v>
      </c>
      <c r="E615" s="26"/>
      <c r="F615" s="26"/>
      <c r="G615" s="26">
        <v>0.2</v>
      </c>
      <c r="H615" s="26"/>
    </row>
    <row r="616" spans="1:8" ht="15.75" customHeight="1" x14ac:dyDescent="0.25">
      <c r="A616" s="32">
        <v>612</v>
      </c>
      <c r="B616" s="179"/>
      <c r="C616" s="179"/>
      <c r="D616" s="18" t="s">
        <v>953</v>
      </c>
      <c r="E616" s="26"/>
      <c r="F616" s="26"/>
      <c r="G616" s="26">
        <v>0.1</v>
      </c>
      <c r="H616" s="26"/>
    </row>
    <row r="617" spans="1:8" ht="15.75" customHeight="1" x14ac:dyDescent="0.25">
      <c r="A617" s="32">
        <v>613</v>
      </c>
      <c r="B617" s="179"/>
      <c r="C617" s="179"/>
      <c r="D617" s="18" t="s">
        <v>512</v>
      </c>
      <c r="E617" s="26"/>
      <c r="F617" s="26"/>
      <c r="G617" s="26">
        <v>0.25</v>
      </c>
      <c r="H617" s="26"/>
    </row>
    <row r="618" spans="1:8" ht="15.75" customHeight="1" x14ac:dyDescent="0.25">
      <c r="A618" s="32">
        <v>614</v>
      </c>
      <c r="B618" s="179"/>
      <c r="C618" s="179"/>
      <c r="D618" s="18" t="s">
        <v>954</v>
      </c>
      <c r="E618" s="26"/>
      <c r="F618" s="26"/>
      <c r="G618" s="26">
        <v>0.3</v>
      </c>
      <c r="H618" s="26"/>
    </row>
    <row r="619" spans="1:8" ht="15.75" customHeight="1" x14ac:dyDescent="0.25">
      <c r="A619" s="32">
        <v>615</v>
      </c>
      <c r="B619" s="179"/>
      <c r="C619" s="179"/>
      <c r="D619" s="18" t="s">
        <v>955</v>
      </c>
      <c r="E619" s="26"/>
      <c r="F619" s="26"/>
      <c r="G619" s="26">
        <v>0.3</v>
      </c>
      <c r="H619" s="26"/>
    </row>
    <row r="620" spans="1:8" ht="15.75" customHeight="1" x14ac:dyDescent="0.25">
      <c r="A620" s="32">
        <v>616</v>
      </c>
      <c r="B620" s="179"/>
      <c r="C620" s="179"/>
      <c r="D620" s="18" t="s">
        <v>956</v>
      </c>
      <c r="E620" s="26"/>
      <c r="F620" s="26"/>
      <c r="G620" s="26">
        <v>0.2</v>
      </c>
      <c r="H620" s="26"/>
    </row>
    <row r="621" spans="1:8" ht="15.75" customHeight="1" x14ac:dyDescent="0.25">
      <c r="A621" s="32">
        <v>617</v>
      </c>
      <c r="B621" s="179"/>
      <c r="C621" s="179"/>
      <c r="D621" s="18" t="s">
        <v>849</v>
      </c>
      <c r="E621" s="26"/>
      <c r="F621" s="26"/>
      <c r="G621" s="26">
        <v>0.25</v>
      </c>
      <c r="H621" s="26"/>
    </row>
    <row r="622" spans="1:8" ht="15.75" customHeight="1" x14ac:dyDescent="0.25">
      <c r="A622" s="32">
        <v>618</v>
      </c>
      <c r="B622" s="179"/>
      <c r="C622" s="179"/>
      <c r="D622" s="18" t="s">
        <v>957</v>
      </c>
      <c r="E622" s="26"/>
      <c r="F622" s="26"/>
      <c r="G622" s="26">
        <v>0.2</v>
      </c>
      <c r="H622" s="26"/>
    </row>
    <row r="623" spans="1:8" ht="15.75" customHeight="1" x14ac:dyDescent="0.25">
      <c r="A623" s="32">
        <v>619</v>
      </c>
      <c r="B623" s="179"/>
      <c r="C623" s="179"/>
      <c r="D623" s="18" t="s">
        <v>958</v>
      </c>
      <c r="E623" s="26"/>
      <c r="F623" s="26"/>
      <c r="G623" s="26">
        <v>0.2</v>
      </c>
      <c r="H623" s="26"/>
    </row>
    <row r="624" spans="1:8" ht="15.75" customHeight="1" x14ac:dyDescent="0.25">
      <c r="A624" s="32">
        <v>620</v>
      </c>
      <c r="B624" s="179"/>
      <c r="C624" s="179"/>
      <c r="D624" s="18" t="s">
        <v>959</v>
      </c>
      <c r="E624" s="26"/>
      <c r="F624" s="26"/>
      <c r="G624" s="26">
        <v>0.3</v>
      </c>
      <c r="H624" s="26"/>
    </row>
    <row r="625" spans="1:8" ht="15.75" customHeight="1" x14ac:dyDescent="0.25">
      <c r="A625" s="32">
        <v>621</v>
      </c>
      <c r="B625" s="179"/>
      <c r="C625" s="179"/>
      <c r="D625" s="18" t="s">
        <v>960</v>
      </c>
      <c r="E625" s="26"/>
      <c r="F625" s="26"/>
      <c r="G625" s="26">
        <v>0.2</v>
      </c>
      <c r="H625" s="26"/>
    </row>
    <row r="626" spans="1:8" ht="15.75" customHeight="1" x14ac:dyDescent="0.25">
      <c r="A626" s="32">
        <v>622</v>
      </c>
      <c r="B626" s="179"/>
      <c r="C626" s="179"/>
      <c r="D626" s="18" t="s">
        <v>961</v>
      </c>
      <c r="E626" s="26"/>
      <c r="F626" s="26"/>
      <c r="G626" s="26">
        <v>0.2</v>
      </c>
      <c r="H626" s="26"/>
    </row>
    <row r="627" spans="1:8" ht="15.75" customHeight="1" x14ac:dyDescent="0.25">
      <c r="A627" s="32">
        <v>623</v>
      </c>
      <c r="B627" s="179"/>
      <c r="C627" s="179"/>
      <c r="D627" s="18" t="s">
        <v>961</v>
      </c>
      <c r="E627" s="26"/>
      <c r="F627" s="26"/>
      <c r="G627" s="26">
        <v>0.2</v>
      </c>
      <c r="H627" s="26"/>
    </row>
    <row r="628" spans="1:8" ht="15.75" customHeight="1" x14ac:dyDescent="0.25">
      <c r="A628" s="32">
        <v>624</v>
      </c>
      <c r="B628" s="179"/>
      <c r="C628" s="179"/>
      <c r="D628" s="18" t="s">
        <v>962</v>
      </c>
      <c r="E628" s="26"/>
      <c r="F628" s="26"/>
      <c r="G628" s="26">
        <v>0.25</v>
      </c>
      <c r="H628" s="26"/>
    </row>
    <row r="629" spans="1:8" ht="15.75" customHeight="1" x14ac:dyDescent="0.25">
      <c r="A629" s="32">
        <v>625</v>
      </c>
      <c r="B629" s="179"/>
      <c r="C629" s="179"/>
      <c r="D629" s="18" t="s">
        <v>963</v>
      </c>
      <c r="E629" s="26"/>
      <c r="F629" s="26"/>
      <c r="G629" s="26">
        <v>0.5</v>
      </c>
      <c r="H629" s="26"/>
    </row>
    <row r="630" spans="1:8" ht="15.75" customHeight="1" x14ac:dyDescent="0.25">
      <c r="A630" s="32">
        <v>626</v>
      </c>
      <c r="B630" s="179"/>
      <c r="C630" s="179"/>
      <c r="D630" s="18" t="s">
        <v>964</v>
      </c>
      <c r="E630" s="26"/>
      <c r="F630" s="26"/>
      <c r="G630" s="26">
        <v>0.2</v>
      </c>
      <c r="H630" s="26"/>
    </row>
    <row r="631" spans="1:8" ht="15.75" customHeight="1" x14ac:dyDescent="0.25">
      <c r="A631" s="32">
        <v>627</v>
      </c>
      <c r="B631" s="179"/>
      <c r="C631" s="179"/>
      <c r="D631" s="18" t="s">
        <v>965</v>
      </c>
      <c r="E631" s="26"/>
      <c r="F631" s="26"/>
      <c r="G631" s="26">
        <v>0.2</v>
      </c>
      <c r="H631" s="26"/>
    </row>
    <row r="632" spans="1:8" ht="15.75" customHeight="1" x14ac:dyDescent="0.25">
      <c r="A632" s="32">
        <v>628</v>
      </c>
      <c r="B632" s="179"/>
      <c r="C632" s="179"/>
      <c r="D632" s="18" t="s">
        <v>966</v>
      </c>
      <c r="E632" s="26"/>
      <c r="F632" s="26"/>
      <c r="G632" s="26">
        <v>0.2</v>
      </c>
      <c r="H632" s="26"/>
    </row>
    <row r="633" spans="1:8" ht="15.75" customHeight="1" x14ac:dyDescent="0.25">
      <c r="A633" s="32">
        <v>629</v>
      </c>
      <c r="B633" s="179"/>
      <c r="C633" s="179"/>
      <c r="D633" s="18" t="s">
        <v>967</v>
      </c>
      <c r="E633" s="26"/>
      <c r="F633" s="26"/>
      <c r="G633" s="26">
        <v>0.25</v>
      </c>
      <c r="H633" s="26"/>
    </row>
    <row r="634" spans="1:8" ht="15.75" customHeight="1" x14ac:dyDescent="0.25">
      <c r="A634" s="32">
        <v>630</v>
      </c>
      <c r="B634" s="179"/>
      <c r="C634" s="179"/>
      <c r="D634" s="18" t="s">
        <v>968</v>
      </c>
      <c r="E634" s="26"/>
      <c r="F634" s="26"/>
      <c r="G634" s="26">
        <v>0.25</v>
      </c>
      <c r="H634" s="26"/>
    </row>
    <row r="635" spans="1:8" ht="15.75" customHeight="1" x14ac:dyDescent="0.25">
      <c r="A635" s="32">
        <v>631</v>
      </c>
      <c r="B635" s="179"/>
      <c r="C635" s="179"/>
      <c r="D635" s="18" t="s">
        <v>969</v>
      </c>
      <c r="E635" s="26"/>
      <c r="F635" s="26"/>
      <c r="G635" s="26">
        <v>0.2</v>
      </c>
      <c r="H635" s="26"/>
    </row>
    <row r="636" spans="1:8" ht="15.75" customHeight="1" x14ac:dyDescent="0.25">
      <c r="A636" s="32">
        <v>632</v>
      </c>
      <c r="B636" s="179"/>
      <c r="C636" s="180"/>
      <c r="D636" s="18" t="s">
        <v>970</v>
      </c>
      <c r="E636" s="26"/>
      <c r="F636" s="26"/>
      <c r="G636" s="26">
        <v>0.1</v>
      </c>
      <c r="H636" s="26"/>
    </row>
    <row r="637" spans="1:8" ht="15.75" customHeight="1" x14ac:dyDescent="0.25">
      <c r="A637" s="32">
        <v>633</v>
      </c>
      <c r="B637" s="179"/>
      <c r="C637" s="178" t="s">
        <v>971</v>
      </c>
      <c r="D637" s="18" t="s">
        <v>972</v>
      </c>
      <c r="E637" s="26"/>
      <c r="F637" s="26"/>
      <c r="G637" s="26">
        <v>0.5</v>
      </c>
      <c r="H637" s="26"/>
    </row>
    <row r="638" spans="1:8" ht="15.75" customHeight="1" x14ac:dyDescent="0.25">
      <c r="A638" s="32">
        <v>634</v>
      </c>
      <c r="B638" s="179"/>
      <c r="C638" s="179"/>
      <c r="D638" s="18" t="s">
        <v>973</v>
      </c>
      <c r="E638" s="26"/>
      <c r="F638" s="26"/>
      <c r="G638" s="26">
        <v>0.5</v>
      </c>
      <c r="H638" s="26"/>
    </row>
    <row r="639" spans="1:8" ht="15.75" customHeight="1" x14ac:dyDescent="0.25">
      <c r="A639" s="32">
        <v>635</v>
      </c>
      <c r="B639" s="179"/>
      <c r="C639" s="179"/>
      <c r="D639" s="18" t="s">
        <v>974</v>
      </c>
      <c r="E639" s="26"/>
      <c r="F639" s="26"/>
      <c r="G639" s="26">
        <v>0.5</v>
      </c>
      <c r="H639" s="26"/>
    </row>
    <row r="640" spans="1:8" ht="15.75" customHeight="1" x14ac:dyDescent="0.25">
      <c r="A640" s="32">
        <v>636</v>
      </c>
      <c r="B640" s="179"/>
      <c r="C640" s="179"/>
      <c r="D640" s="18" t="s">
        <v>975</v>
      </c>
      <c r="E640" s="26"/>
      <c r="F640" s="26"/>
      <c r="G640" s="26">
        <v>0.5</v>
      </c>
      <c r="H640" s="26"/>
    </row>
    <row r="641" spans="1:8" ht="15.75" customHeight="1" x14ac:dyDescent="0.25">
      <c r="A641" s="32">
        <v>637</v>
      </c>
      <c r="B641" s="179"/>
      <c r="C641" s="179"/>
      <c r="D641" s="18" t="s">
        <v>976</v>
      </c>
      <c r="E641" s="26"/>
      <c r="F641" s="26"/>
      <c r="G641" s="26">
        <v>0.25</v>
      </c>
      <c r="H641" s="26"/>
    </row>
    <row r="642" spans="1:8" ht="15.75" customHeight="1" x14ac:dyDescent="0.25">
      <c r="A642" s="32">
        <v>638</v>
      </c>
      <c r="B642" s="179"/>
      <c r="C642" s="179"/>
      <c r="D642" s="18" t="s">
        <v>977</v>
      </c>
      <c r="E642" s="26"/>
      <c r="F642" s="26"/>
      <c r="G642" s="26">
        <v>0.5</v>
      </c>
      <c r="H642" s="26"/>
    </row>
    <row r="643" spans="1:8" ht="15.75" customHeight="1" x14ac:dyDescent="0.25">
      <c r="A643" s="32">
        <v>639</v>
      </c>
      <c r="B643" s="179"/>
      <c r="C643" s="179"/>
      <c r="D643" s="18" t="s">
        <v>978</v>
      </c>
      <c r="E643" s="26"/>
      <c r="F643" s="26"/>
      <c r="G643" s="26">
        <v>0.5</v>
      </c>
      <c r="H643" s="26"/>
    </row>
    <row r="644" spans="1:8" ht="15.75" customHeight="1" x14ac:dyDescent="0.25">
      <c r="A644" s="32">
        <v>640</v>
      </c>
      <c r="B644" s="179"/>
      <c r="C644" s="179"/>
      <c r="D644" s="18" t="s">
        <v>979</v>
      </c>
      <c r="E644" s="26"/>
      <c r="F644" s="26"/>
      <c r="G644" s="26">
        <v>0.5</v>
      </c>
      <c r="H644" s="26"/>
    </row>
    <row r="645" spans="1:8" ht="15.75" customHeight="1" x14ac:dyDescent="0.25">
      <c r="A645" s="32">
        <v>641</v>
      </c>
      <c r="B645" s="179"/>
      <c r="C645" s="179"/>
      <c r="D645" s="18" t="s">
        <v>980</v>
      </c>
      <c r="E645" s="26"/>
      <c r="F645" s="26"/>
      <c r="G645" s="26">
        <v>0.5</v>
      </c>
      <c r="H645" s="26"/>
    </row>
    <row r="646" spans="1:8" ht="15.75" customHeight="1" x14ac:dyDescent="0.25">
      <c r="A646" s="32">
        <v>642</v>
      </c>
      <c r="B646" s="179"/>
      <c r="C646" s="179"/>
      <c r="D646" s="18" t="s">
        <v>981</v>
      </c>
      <c r="E646" s="26"/>
      <c r="F646" s="26"/>
      <c r="G646" s="26">
        <v>0.5</v>
      </c>
      <c r="H646" s="26"/>
    </row>
    <row r="647" spans="1:8" ht="15.75" customHeight="1" x14ac:dyDescent="0.25">
      <c r="A647" s="32">
        <v>643</v>
      </c>
      <c r="B647" s="179"/>
      <c r="C647" s="179"/>
      <c r="D647" s="18" t="s">
        <v>982</v>
      </c>
      <c r="E647" s="26"/>
      <c r="F647" s="26"/>
      <c r="G647" s="26">
        <v>0.25</v>
      </c>
      <c r="H647" s="26"/>
    </row>
    <row r="648" spans="1:8" ht="15.75" customHeight="1" x14ac:dyDescent="0.25">
      <c r="A648" s="32">
        <v>644</v>
      </c>
      <c r="B648" s="179"/>
      <c r="C648" s="179"/>
      <c r="D648" s="18" t="s">
        <v>983</v>
      </c>
      <c r="E648" s="26"/>
      <c r="F648" s="26"/>
      <c r="G648" s="26">
        <v>0.25</v>
      </c>
      <c r="H648" s="26"/>
    </row>
    <row r="649" spans="1:8" ht="15.75" customHeight="1" x14ac:dyDescent="0.25">
      <c r="A649" s="32">
        <v>645</v>
      </c>
      <c r="B649" s="179"/>
      <c r="C649" s="179"/>
      <c r="D649" s="18" t="s">
        <v>984</v>
      </c>
      <c r="E649" s="26"/>
      <c r="F649" s="26"/>
      <c r="G649" s="26">
        <v>0.5</v>
      </c>
      <c r="H649" s="26"/>
    </row>
    <row r="650" spans="1:8" ht="15.75" customHeight="1" x14ac:dyDescent="0.25">
      <c r="A650" s="32">
        <v>646</v>
      </c>
      <c r="B650" s="179"/>
      <c r="C650" s="179"/>
      <c r="D650" s="18" t="s">
        <v>985</v>
      </c>
      <c r="E650" s="26"/>
      <c r="F650" s="26"/>
      <c r="G650" s="26">
        <v>0.5</v>
      </c>
      <c r="H650" s="26"/>
    </row>
    <row r="651" spans="1:8" ht="15.75" customHeight="1" x14ac:dyDescent="0.25">
      <c r="A651" s="32">
        <v>647</v>
      </c>
      <c r="B651" s="179"/>
      <c r="C651" s="180"/>
      <c r="D651" s="18" t="s">
        <v>985</v>
      </c>
      <c r="E651" s="26"/>
      <c r="F651" s="26"/>
      <c r="G651" s="26">
        <v>0.5</v>
      </c>
      <c r="H651" s="26"/>
    </row>
    <row r="652" spans="1:8" ht="15.75" customHeight="1" x14ac:dyDescent="0.25">
      <c r="A652" s="32">
        <v>648</v>
      </c>
      <c r="B652" s="179"/>
      <c r="C652" s="178" t="s">
        <v>986</v>
      </c>
      <c r="D652" s="18" t="s">
        <v>987</v>
      </c>
      <c r="E652" s="26"/>
      <c r="F652" s="26"/>
      <c r="G652" s="26">
        <v>0.2</v>
      </c>
      <c r="H652" s="26"/>
    </row>
    <row r="653" spans="1:8" ht="15.75" customHeight="1" x14ac:dyDescent="0.25">
      <c r="A653" s="32">
        <v>649</v>
      </c>
      <c r="B653" s="179"/>
      <c r="C653" s="179"/>
      <c r="D653" s="18" t="s">
        <v>988</v>
      </c>
      <c r="E653" s="26"/>
      <c r="F653" s="26"/>
      <c r="G653" s="26">
        <v>0.5</v>
      </c>
      <c r="H653" s="26"/>
    </row>
    <row r="654" spans="1:8" ht="15.75" customHeight="1" x14ac:dyDescent="0.25">
      <c r="A654" s="32">
        <v>650</v>
      </c>
      <c r="B654" s="179"/>
      <c r="C654" s="179"/>
      <c r="D654" s="18" t="s">
        <v>989</v>
      </c>
      <c r="E654" s="26"/>
      <c r="F654" s="26"/>
      <c r="G654" s="26">
        <v>0.2</v>
      </c>
      <c r="H654" s="26"/>
    </row>
    <row r="655" spans="1:8" ht="15.75" customHeight="1" x14ac:dyDescent="0.25">
      <c r="A655" s="32">
        <v>651</v>
      </c>
      <c r="B655" s="179"/>
      <c r="C655" s="179"/>
      <c r="D655" s="18" t="s">
        <v>990</v>
      </c>
      <c r="E655" s="26"/>
      <c r="F655" s="26"/>
      <c r="G655" s="26">
        <v>0.2</v>
      </c>
      <c r="H655" s="26"/>
    </row>
    <row r="656" spans="1:8" ht="15.75" customHeight="1" x14ac:dyDescent="0.25">
      <c r="A656" s="32">
        <v>652</v>
      </c>
      <c r="B656" s="179"/>
      <c r="C656" s="179"/>
      <c r="D656" s="18" t="s">
        <v>917</v>
      </c>
      <c r="E656" s="26"/>
      <c r="F656" s="26"/>
      <c r="G656" s="26">
        <v>0.2</v>
      </c>
      <c r="H656" s="26"/>
    </row>
    <row r="657" spans="1:8" ht="15.75" customHeight="1" x14ac:dyDescent="0.25">
      <c r="A657" s="32">
        <v>653</v>
      </c>
      <c r="B657" s="179"/>
      <c r="C657" s="179"/>
      <c r="D657" s="18" t="s">
        <v>991</v>
      </c>
      <c r="E657" s="26"/>
      <c r="F657" s="26"/>
      <c r="G657" s="26">
        <v>0.3</v>
      </c>
      <c r="H657" s="26"/>
    </row>
    <row r="658" spans="1:8" ht="15.75" customHeight="1" x14ac:dyDescent="0.25">
      <c r="A658" s="32">
        <v>654</v>
      </c>
      <c r="B658" s="179"/>
      <c r="C658" s="179"/>
      <c r="D658" s="18" t="s">
        <v>992</v>
      </c>
      <c r="E658" s="26"/>
      <c r="F658" s="26"/>
      <c r="G658" s="26">
        <v>1.1000000000000001</v>
      </c>
      <c r="H658" s="26"/>
    </row>
    <row r="659" spans="1:8" ht="15.75" customHeight="1" x14ac:dyDescent="0.25">
      <c r="A659" s="32">
        <v>655</v>
      </c>
      <c r="B659" s="179"/>
      <c r="C659" s="179"/>
      <c r="D659" s="18" t="s">
        <v>993</v>
      </c>
      <c r="E659" s="26"/>
      <c r="F659" s="26"/>
      <c r="G659" s="26">
        <v>0.3</v>
      </c>
      <c r="H659" s="26"/>
    </row>
    <row r="660" spans="1:8" ht="15.75" customHeight="1" x14ac:dyDescent="0.25">
      <c r="A660" s="32">
        <v>656</v>
      </c>
      <c r="B660" s="179"/>
      <c r="C660" s="179"/>
      <c r="D660" s="18" t="s">
        <v>994</v>
      </c>
      <c r="E660" s="26"/>
      <c r="F660" s="26"/>
      <c r="G660" s="26">
        <v>0.2</v>
      </c>
      <c r="H660" s="26"/>
    </row>
    <row r="661" spans="1:8" ht="15.75" customHeight="1" x14ac:dyDescent="0.25">
      <c r="A661" s="32">
        <v>657</v>
      </c>
      <c r="B661" s="179"/>
      <c r="C661" s="179"/>
      <c r="D661" s="18" t="s">
        <v>964</v>
      </c>
      <c r="E661" s="26"/>
      <c r="F661" s="26"/>
      <c r="G661" s="26">
        <v>0.2</v>
      </c>
      <c r="H661" s="26"/>
    </row>
    <row r="662" spans="1:8" ht="15.75" customHeight="1" x14ac:dyDescent="0.25">
      <c r="A662" s="32">
        <v>658</v>
      </c>
      <c r="B662" s="179"/>
      <c r="C662" s="179"/>
      <c r="D662" s="18" t="s">
        <v>966</v>
      </c>
      <c r="E662" s="26"/>
      <c r="F662" s="26"/>
      <c r="G662" s="26">
        <v>0.2</v>
      </c>
      <c r="H662" s="26"/>
    </row>
    <row r="663" spans="1:8" ht="15.75" customHeight="1" x14ac:dyDescent="0.25">
      <c r="A663" s="32">
        <v>659</v>
      </c>
      <c r="B663" s="179"/>
      <c r="C663" s="179"/>
      <c r="D663" s="18" t="s">
        <v>995</v>
      </c>
      <c r="E663" s="26"/>
      <c r="F663" s="26"/>
      <c r="G663" s="26">
        <v>0.5</v>
      </c>
      <c r="H663" s="26"/>
    </row>
    <row r="664" spans="1:8" ht="15.75" customHeight="1" x14ac:dyDescent="0.25">
      <c r="A664" s="32">
        <v>660</v>
      </c>
      <c r="B664" s="179"/>
      <c r="C664" s="179"/>
      <c r="D664" s="18" t="s">
        <v>996</v>
      </c>
      <c r="E664" s="26"/>
      <c r="F664" s="26"/>
      <c r="G664" s="26">
        <v>0.2</v>
      </c>
      <c r="H664" s="26"/>
    </row>
    <row r="665" spans="1:8" ht="15.75" customHeight="1" x14ac:dyDescent="0.25">
      <c r="A665" s="32">
        <v>661</v>
      </c>
      <c r="B665" s="179"/>
      <c r="C665" s="180"/>
      <c r="D665" s="18" t="s">
        <v>663</v>
      </c>
      <c r="E665" s="26"/>
      <c r="F665" s="26"/>
      <c r="G665" s="26">
        <v>1.1000000000000001</v>
      </c>
      <c r="H665" s="26"/>
    </row>
    <row r="666" spans="1:8" ht="15.75" customHeight="1" x14ac:dyDescent="0.25">
      <c r="A666" s="32">
        <v>662</v>
      </c>
      <c r="B666" s="179"/>
      <c r="C666" s="178" t="s">
        <v>997</v>
      </c>
      <c r="D666" s="18" t="s">
        <v>998</v>
      </c>
      <c r="E666" s="26"/>
      <c r="F666" s="26"/>
      <c r="G666" s="26">
        <v>0.5</v>
      </c>
      <c r="H666" s="26"/>
    </row>
    <row r="667" spans="1:8" ht="15.75" customHeight="1" x14ac:dyDescent="0.25">
      <c r="A667" s="32">
        <v>663</v>
      </c>
      <c r="B667" s="179"/>
      <c r="C667" s="179"/>
      <c r="D667" s="18" t="s">
        <v>999</v>
      </c>
      <c r="E667" s="26"/>
      <c r="F667" s="26"/>
      <c r="G667" s="26">
        <v>0.35</v>
      </c>
      <c r="H667" s="26"/>
    </row>
    <row r="668" spans="1:8" ht="15.75" customHeight="1" x14ac:dyDescent="0.25">
      <c r="A668" s="32">
        <v>664</v>
      </c>
      <c r="B668" s="179"/>
      <c r="C668" s="179"/>
      <c r="D668" s="18" t="s">
        <v>1000</v>
      </c>
      <c r="E668" s="26"/>
      <c r="F668" s="26"/>
      <c r="G668" s="26">
        <v>0.5</v>
      </c>
      <c r="H668" s="26"/>
    </row>
    <row r="669" spans="1:8" ht="15.75" customHeight="1" x14ac:dyDescent="0.25">
      <c r="A669" s="32">
        <v>665</v>
      </c>
      <c r="B669" s="179"/>
      <c r="C669" s="179"/>
      <c r="D669" s="18" t="s">
        <v>1001</v>
      </c>
      <c r="E669" s="26"/>
      <c r="F669" s="26"/>
      <c r="G669" s="26">
        <v>1</v>
      </c>
      <c r="H669" s="26"/>
    </row>
    <row r="670" spans="1:8" ht="15.75" customHeight="1" x14ac:dyDescent="0.25">
      <c r="A670" s="32">
        <v>666</v>
      </c>
      <c r="B670" s="179"/>
      <c r="C670" s="179"/>
      <c r="D670" s="18" t="s">
        <v>1002</v>
      </c>
      <c r="E670" s="26"/>
      <c r="F670" s="26"/>
      <c r="G670" s="26">
        <v>1</v>
      </c>
      <c r="H670" s="26"/>
    </row>
    <row r="671" spans="1:8" ht="15.75" customHeight="1" x14ac:dyDescent="0.25">
      <c r="A671" s="32">
        <v>667</v>
      </c>
      <c r="B671" s="179"/>
      <c r="C671" s="179"/>
      <c r="D671" s="18" t="s">
        <v>1003</v>
      </c>
      <c r="E671" s="26"/>
      <c r="F671" s="26"/>
      <c r="G671" s="26">
        <v>1</v>
      </c>
      <c r="H671" s="26"/>
    </row>
    <row r="672" spans="1:8" ht="15.75" customHeight="1" x14ac:dyDescent="0.25">
      <c r="A672" s="32">
        <v>668</v>
      </c>
      <c r="B672" s="179"/>
      <c r="C672" s="179"/>
      <c r="D672" s="18" t="s">
        <v>1004</v>
      </c>
      <c r="E672" s="26"/>
      <c r="F672" s="26"/>
      <c r="G672" s="26">
        <v>0.5</v>
      </c>
      <c r="H672" s="26"/>
    </row>
    <row r="673" spans="1:8" ht="15.75" customHeight="1" x14ac:dyDescent="0.25">
      <c r="A673" s="32">
        <v>669</v>
      </c>
      <c r="B673" s="179"/>
      <c r="C673" s="179"/>
      <c r="D673" s="18" t="s">
        <v>1005</v>
      </c>
      <c r="E673" s="26"/>
      <c r="F673" s="26"/>
      <c r="G673" s="26">
        <v>0.35</v>
      </c>
      <c r="H673" s="26"/>
    </row>
    <row r="674" spans="1:8" ht="15.75" customHeight="1" x14ac:dyDescent="0.25">
      <c r="A674" s="32">
        <v>670</v>
      </c>
      <c r="B674" s="179"/>
      <c r="C674" s="179"/>
      <c r="D674" s="18" t="s">
        <v>1006</v>
      </c>
      <c r="E674" s="26"/>
      <c r="F674" s="26"/>
      <c r="G674" s="26">
        <v>0.35</v>
      </c>
      <c r="H674" s="26"/>
    </row>
    <row r="675" spans="1:8" ht="15.75" customHeight="1" x14ac:dyDescent="0.25">
      <c r="A675" s="32">
        <v>671</v>
      </c>
      <c r="B675" s="179"/>
      <c r="C675" s="179"/>
      <c r="D675" s="18" t="s">
        <v>1007</v>
      </c>
      <c r="E675" s="26"/>
      <c r="F675" s="26"/>
      <c r="G675" s="26">
        <v>0.35</v>
      </c>
      <c r="H675" s="26"/>
    </row>
    <row r="676" spans="1:8" ht="15.75" customHeight="1" x14ac:dyDescent="0.25">
      <c r="A676" s="32">
        <v>672</v>
      </c>
      <c r="B676" s="179"/>
      <c r="C676" s="179"/>
      <c r="D676" s="18" t="s">
        <v>1008</v>
      </c>
      <c r="E676" s="26"/>
      <c r="F676" s="26"/>
      <c r="G676" s="26">
        <v>1</v>
      </c>
      <c r="H676" s="26"/>
    </row>
    <row r="677" spans="1:8" ht="15.75" customHeight="1" x14ac:dyDescent="0.25">
      <c r="A677" s="32">
        <v>673</v>
      </c>
      <c r="B677" s="179"/>
      <c r="C677" s="179"/>
      <c r="D677" s="18" t="s">
        <v>1009</v>
      </c>
      <c r="E677" s="26"/>
      <c r="F677" s="26"/>
      <c r="G677" s="26">
        <v>0.5</v>
      </c>
      <c r="H677" s="26"/>
    </row>
    <row r="678" spans="1:8" ht="15.75" customHeight="1" x14ac:dyDescent="0.25">
      <c r="A678" s="32">
        <v>674</v>
      </c>
      <c r="B678" s="179"/>
      <c r="C678" s="179"/>
      <c r="D678" s="18" t="s">
        <v>1010</v>
      </c>
      <c r="E678" s="26"/>
      <c r="F678" s="26"/>
      <c r="G678" s="26">
        <v>0.5</v>
      </c>
      <c r="H678" s="26"/>
    </row>
    <row r="679" spans="1:8" ht="15.75" customHeight="1" x14ac:dyDescent="0.25">
      <c r="A679" s="32">
        <v>675</v>
      </c>
      <c r="B679" s="179"/>
      <c r="C679" s="179"/>
      <c r="D679" s="18" t="s">
        <v>440</v>
      </c>
      <c r="E679" s="26"/>
      <c r="F679" s="26"/>
      <c r="G679" s="26">
        <v>0.5</v>
      </c>
      <c r="H679" s="26"/>
    </row>
    <row r="680" spans="1:8" ht="15.75" customHeight="1" x14ac:dyDescent="0.25">
      <c r="A680" s="32">
        <v>676</v>
      </c>
      <c r="B680" s="179"/>
      <c r="C680" s="179"/>
      <c r="D680" s="18" t="s">
        <v>1011</v>
      </c>
      <c r="E680" s="26"/>
      <c r="F680" s="26"/>
      <c r="G680" s="26">
        <v>1</v>
      </c>
      <c r="H680" s="26"/>
    </row>
    <row r="681" spans="1:8" ht="15.75" customHeight="1" x14ac:dyDescent="0.25">
      <c r="A681" s="32">
        <v>677</v>
      </c>
      <c r="B681" s="179"/>
      <c r="C681" s="179"/>
      <c r="D681" s="18" t="s">
        <v>1012</v>
      </c>
      <c r="E681" s="26"/>
      <c r="F681" s="26"/>
      <c r="G681" s="26">
        <v>0.4</v>
      </c>
      <c r="H681" s="26"/>
    </row>
    <row r="682" spans="1:8" ht="15.75" customHeight="1" x14ac:dyDescent="0.25">
      <c r="A682" s="32">
        <v>678</v>
      </c>
      <c r="B682" s="179"/>
      <c r="C682" s="179"/>
      <c r="D682" s="18" t="s">
        <v>1013</v>
      </c>
      <c r="E682" s="26"/>
      <c r="F682" s="26"/>
      <c r="G682" s="26">
        <v>0.5</v>
      </c>
      <c r="H682" s="26"/>
    </row>
    <row r="683" spans="1:8" ht="15.75" customHeight="1" x14ac:dyDescent="0.25">
      <c r="A683" s="32">
        <v>679</v>
      </c>
      <c r="B683" s="179"/>
      <c r="C683" s="179"/>
      <c r="D683" s="18" t="s">
        <v>1014</v>
      </c>
      <c r="E683" s="26"/>
      <c r="F683" s="26"/>
      <c r="G683" s="26">
        <v>0.5</v>
      </c>
      <c r="H683" s="26"/>
    </row>
    <row r="684" spans="1:8" ht="15.75" customHeight="1" x14ac:dyDescent="0.25">
      <c r="A684" s="32">
        <v>680</v>
      </c>
      <c r="B684" s="179"/>
      <c r="C684" s="179"/>
      <c r="D684" s="18" t="s">
        <v>1015</v>
      </c>
      <c r="E684" s="26"/>
      <c r="F684" s="26"/>
      <c r="G684" s="26">
        <v>0.5</v>
      </c>
      <c r="H684" s="26"/>
    </row>
    <row r="685" spans="1:8" ht="15.75" customHeight="1" x14ac:dyDescent="0.25">
      <c r="A685" s="32">
        <v>681</v>
      </c>
      <c r="B685" s="179"/>
      <c r="C685" s="179"/>
      <c r="D685" s="18" t="s">
        <v>1016</v>
      </c>
      <c r="E685" s="26"/>
      <c r="F685" s="26"/>
      <c r="G685" s="26">
        <v>0.5</v>
      </c>
      <c r="H685" s="26"/>
    </row>
    <row r="686" spans="1:8" ht="15.75" customHeight="1" x14ac:dyDescent="0.25">
      <c r="A686" s="32">
        <v>682</v>
      </c>
      <c r="B686" s="179"/>
      <c r="C686" s="179"/>
      <c r="D686" s="18" t="s">
        <v>1017</v>
      </c>
      <c r="E686" s="26"/>
      <c r="F686" s="26"/>
      <c r="G686" s="26">
        <v>0.4</v>
      </c>
      <c r="H686" s="26"/>
    </row>
    <row r="687" spans="1:8" ht="15.75" customHeight="1" x14ac:dyDescent="0.25">
      <c r="A687" s="32">
        <v>683</v>
      </c>
      <c r="B687" s="179"/>
      <c r="C687" s="179"/>
      <c r="D687" s="18" t="s">
        <v>1018</v>
      </c>
      <c r="E687" s="26"/>
      <c r="F687" s="26"/>
      <c r="G687" s="26">
        <v>0.5</v>
      </c>
      <c r="H687" s="26"/>
    </row>
    <row r="688" spans="1:8" ht="15.75" customHeight="1" x14ac:dyDescent="0.25">
      <c r="A688" s="32">
        <v>684</v>
      </c>
      <c r="B688" s="179"/>
      <c r="C688" s="179"/>
      <c r="D688" s="18" t="s">
        <v>1019</v>
      </c>
      <c r="E688" s="26"/>
      <c r="F688" s="26"/>
      <c r="G688" s="26">
        <v>1</v>
      </c>
      <c r="H688" s="26"/>
    </row>
    <row r="689" spans="1:8" ht="15.75" customHeight="1" x14ac:dyDescent="0.25">
      <c r="A689" s="32">
        <v>685</v>
      </c>
      <c r="B689" s="179"/>
      <c r="C689" s="180"/>
      <c r="D689" s="18" t="s">
        <v>479</v>
      </c>
      <c r="E689" s="26"/>
      <c r="F689" s="26"/>
      <c r="G689" s="26">
        <v>0.35</v>
      </c>
      <c r="H689" s="26"/>
    </row>
    <row r="690" spans="1:8" ht="15.75" customHeight="1" x14ac:dyDescent="0.25">
      <c r="A690" s="32">
        <v>686</v>
      </c>
      <c r="B690" s="179"/>
      <c r="C690" s="178" t="s">
        <v>1020</v>
      </c>
      <c r="D690" s="18" t="s">
        <v>1021</v>
      </c>
      <c r="E690" s="26"/>
      <c r="F690" s="26"/>
      <c r="G690" s="26">
        <v>0.5</v>
      </c>
      <c r="H690" s="26"/>
    </row>
    <row r="691" spans="1:8" ht="15.75" customHeight="1" x14ac:dyDescent="0.25">
      <c r="A691" s="32">
        <v>687</v>
      </c>
      <c r="B691" s="179"/>
      <c r="C691" s="179"/>
      <c r="D691" s="18" t="s">
        <v>1022</v>
      </c>
      <c r="E691" s="26"/>
      <c r="F691" s="26"/>
      <c r="G691" s="26">
        <v>0.5</v>
      </c>
      <c r="H691" s="26"/>
    </row>
    <row r="692" spans="1:8" ht="15.75" customHeight="1" x14ac:dyDescent="0.25">
      <c r="A692" s="32">
        <v>688</v>
      </c>
      <c r="B692" s="179"/>
      <c r="C692" s="179"/>
      <c r="D692" s="18" t="s">
        <v>1023</v>
      </c>
      <c r="E692" s="26"/>
      <c r="F692" s="26"/>
      <c r="G692" s="26">
        <v>0.3</v>
      </c>
      <c r="H692" s="26"/>
    </row>
    <row r="693" spans="1:8" ht="15.75" customHeight="1" x14ac:dyDescent="0.25">
      <c r="A693" s="32">
        <v>689</v>
      </c>
      <c r="B693" s="179"/>
      <c r="C693" s="179"/>
      <c r="D693" s="18" t="s">
        <v>1024</v>
      </c>
      <c r="E693" s="26"/>
      <c r="F693" s="26"/>
      <c r="G693" s="26">
        <v>0.9</v>
      </c>
      <c r="H693" s="26"/>
    </row>
    <row r="694" spans="1:8" ht="15.75" customHeight="1" x14ac:dyDescent="0.25">
      <c r="A694" s="32">
        <v>690</v>
      </c>
      <c r="B694" s="179"/>
      <c r="C694" s="179"/>
      <c r="D694" s="18" t="s">
        <v>1025</v>
      </c>
      <c r="E694" s="26"/>
      <c r="F694" s="26"/>
      <c r="G694" s="26">
        <v>0.3</v>
      </c>
      <c r="H694" s="26"/>
    </row>
    <row r="695" spans="1:8" ht="15.75" customHeight="1" x14ac:dyDescent="0.25">
      <c r="A695" s="32">
        <v>691</v>
      </c>
      <c r="B695" s="179"/>
      <c r="C695" s="179"/>
      <c r="D695" s="18" t="s">
        <v>1026</v>
      </c>
      <c r="E695" s="26"/>
      <c r="F695" s="26"/>
      <c r="G695" s="26">
        <v>0.6</v>
      </c>
      <c r="H695" s="26"/>
    </row>
    <row r="696" spans="1:8" ht="15.75" customHeight="1" x14ac:dyDescent="0.25">
      <c r="A696" s="32">
        <v>692</v>
      </c>
      <c r="B696" s="179"/>
      <c r="C696" s="179"/>
      <c r="D696" s="18" t="s">
        <v>990</v>
      </c>
      <c r="E696" s="26"/>
      <c r="F696" s="26"/>
      <c r="G696" s="26">
        <v>0.2</v>
      </c>
      <c r="H696" s="26"/>
    </row>
    <row r="697" spans="1:8" ht="15.75" customHeight="1" x14ac:dyDescent="0.25">
      <c r="A697" s="32">
        <v>693</v>
      </c>
      <c r="B697" s="179"/>
      <c r="C697" s="179"/>
      <c r="D697" s="18" t="s">
        <v>1027</v>
      </c>
      <c r="E697" s="26"/>
      <c r="F697" s="26"/>
      <c r="G697" s="26">
        <v>0.2</v>
      </c>
      <c r="H697" s="26"/>
    </row>
    <row r="698" spans="1:8" ht="15.75" customHeight="1" x14ac:dyDescent="0.25">
      <c r="A698" s="32">
        <v>694</v>
      </c>
      <c r="B698" s="179"/>
      <c r="C698" s="179"/>
      <c r="D698" s="18" t="s">
        <v>1028</v>
      </c>
      <c r="E698" s="26"/>
      <c r="F698" s="26"/>
      <c r="G698" s="26">
        <v>0.3</v>
      </c>
      <c r="H698" s="26"/>
    </row>
    <row r="699" spans="1:8" ht="15.75" customHeight="1" x14ac:dyDescent="0.25">
      <c r="A699" s="32">
        <v>695</v>
      </c>
      <c r="B699" s="179"/>
      <c r="C699" s="179"/>
      <c r="D699" s="18" t="s">
        <v>1029</v>
      </c>
      <c r="E699" s="26"/>
      <c r="F699" s="26"/>
      <c r="G699" s="26">
        <v>0.3</v>
      </c>
      <c r="H699" s="26"/>
    </row>
    <row r="700" spans="1:8" ht="15.75" customHeight="1" x14ac:dyDescent="0.25">
      <c r="A700" s="32">
        <v>696</v>
      </c>
      <c r="B700" s="179"/>
      <c r="C700" s="179"/>
      <c r="D700" s="18" t="s">
        <v>1030</v>
      </c>
      <c r="E700" s="26"/>
      <c r="F700" s="26"/>
      <c r="G700" s="26">
        <v>0.3</v>
      </c>
      <c r="H700" s="26"/>
    </row>
    <row r="701" spans="1:8" ht="15.75" customHeight="1" x14ac:dyDescent="0.25">
      <c r="A701" s="32">
        <v>697</v>
      </c>
      <c r="B701" s="179"/>
      <c r="C701" s="179"/>
      <c r="D701" s="18" t="s">
        <v>993</v>
      </c>
      <c r="E701" s="26"/>
      <c r="F701" s="26"/>
      <c r="G701" s="26">
        <v>0.3</v>
      </c>
      <c r="H701" s="26"/>
    </row>
    <row r="702" spans="1:8" ht="15.75" customHeight="1" x14ac:dyDescent="0.25">
      <c r="A702" s="32">
        <v>698</v>
      </c>
      <c r="B702" s="179"/>
      <c r="C702" s="179"/>
      <c r="D702" s="18" t="s">
        <v>853</v>
      </c>
      <c r="E702" s="26"/>
      <c r="F702" s="26"/>
      <c r="G702" s="26">
        <v>0.4</v>
      </c>
      <c r="H702" s="26"/>
    </row>
    <row r="703" spans="1:8" ht="15.75" customHeight="1" x14ac:dyDescent="0.25">
      <c r="A703" s="32">
        <v>699</v>
      </c>
      <c r="B703" s="179"/>
      <c r="C703" s="179"/>
      <c r="D703" s="18" t="s">
        <v>1031</v>
      </c>
      <c r="E703" s="26"/>
      <c r="F703" s="26"/>
      <c r="G703" s="26">
        <v>0.3</v>
      </c>
      <c r="H703" s="26"/>
    </row>
    <row r="704" spans="1:8" ht="15.75" customHeight="1" x14ac:dyDescent="0.25">
      <c r="A704" s="32">
        <v>700</v>
      </c>
      <c r="B704" s="179"/>
      <c r="C704" s="179"/>
      <c r="D704" s="18" t="s">
        <v>1032</v>
      </c>
      <c r="E704" s="26"/>
      <c r="F704" s="26"/>
      <c r="G704" s="26">
        <v>0.3</v>
      </c>
      <c r="H704" s="26"/>
    </row>
    <row r="705" spans="1:8" ht="15.75" customHeight="1" x14ac:dyDescent="0.25">
      <c r="A705" s="32">
        <v>701</v>
      </c>
      <c r="B705" s="180"/>
      <c r="C705" s="180"/>
      <c r="D705" s="18" t="s">
        <v>1033</v>
      </c>
      <c r="E705" s="26"/>
      <c r="F705" s="26"/>
      <c r="G705" s="26">
        <v>0.3</v>
      </c>
      <c r="H705" s="26"/>
    </row>
    <row r="706" spans="1:8" ht="15.75" customHeight="1" x14ac:dyDescent="0.25">
      <c r="A706" s="32">
        <v>702</v>
      </c>
      <c r="B706" s="178" t="s">
        <v>70</v>
      </c>
      <c r="C706" s="178" t="s">
        <v>1034</v>
      </c>
      <c r="D706" s="18" t="s">
        <v>1035</v>
      </c>
      <c r="E706" s="26"/>
      <c r="F706" s="26"/>
      <c r="G706" s="26">
        <v>0.25</v>
      </c>
      <c r="H706" s="26"/>
    </row>
    <row r="707" spans="1:8" ht="15.75" customHeight="1" x14ac:dyDescent="0.25">
      <c r="A707" s="32">
        <v>703</v>
      </c>
      <c r="B707" s="179"/>
      <c r="C707" s="179"/>
      <c r="D707" s="18" t="s">
        <v>1036</v>
      </c>
      <c r="E707" s="26"/>
      <c r="F707" s="26"/>
      <c r="G707" s="26">
        <v>0.15</v>
      </c>
      <c r="H707" s="26"/>
    </row>
    <row r="708" spans="1:8" ht="15.75" customHeight="1" x14ac:dyDescent="0.25">
      <c r="A708" s="32">
        <v>704</v>
      </c>
      <c r="B708" s="179"/>
      <c r="C708" s="179"/>
      <c r="D708" s="18" t="s">
        <v>1037</v>
      </c>
      <c r="E708" s="26"/>
      <c r="F708" s="26"/>
      <c r="G708" s="26">
        <v>0.25</v>
      </c>
      <c r="H708" s="26"/>
    </row>
    <row r="709" spans="1:8" ht="15.75" customHeight="1" x14ac:dyDescent="0.25">
      <c r="A709" s="32">
        <v>705</v>
      </c>
      <c r="B709" s="179"/>
      <c r="C709" s="179"/>
      <c r="D709" s="18" t="s">
        <v>1038</v>
      </c>
      <c r="E709" s="26"/>
      <c r="F709" s="26"/>
      <c r="G709" s="26">
        <v>2</v>
      </c>
      <c r="H709" s="26"/>
    </row>
    <row r="710" spans="1:8" ht="15.75" customHeight="1" x14ac:dyDescent="0.25">
      <c r="A710" s="32">
        <v>706</v>
      </c>
      <c r="B710" s="179"/>
      <c r="C710" s="179"/>
      <c r="D710" s="18" t="s">
        <v>1039</v>
      </c>
      <c r="E710" s="26"/>
      <c r="F710" s="26"/>
      <c r="G710" s="26">
        <v>0.25</v>
      </c>
      <c r="H710" s="26"/>
    </row>
    <row r="711" spans="1:8" ht="15.75" customHeight="1" x14ac:dyDescent="0.25">
      <c r="A711" s="32">
        <v>707</v>
      </c>
      <c r="B711" s="179"/>
      <c r="C711" s="179"/>
      <c r="D711" s="18" t="s">
        <v>1040</v>
      </c>
      <c r="E711" s="26"/>
      <c r="F711" s="26"/>
      <c r="G711" s="26">
        <v>0.25</v>
      </c>
      <c r="H711" s="26"/>
    </row>
    <row r="712" spans="1:8" ht="15.75" customHeight="1" x14ac:dyDescent="0.25">
      <c r="A712" s="32">
        <v>708</v>
      </c>
      <c r="B712" s="179"/>
      <c r="C712" s="179"/>
      <c r="D712" s="18" t="s">
        <v>1041</v>
      </c>
      <c r="E712" s="26"/>
      <c r="F712" s="26"/>
      <c r="G712" s="26">
        <v>0.25</v>
      </c>
      <c r="H712" s="26"/>
    </row>
    <row r="713" spans="1:8" ht="15.75" customHeight="1" x14ac:dyDescent="0.25">
      <c r="A713" s="32">
        <v>709</v>
      </c>
      <c r="B713" s="179"/>
      <c r="C713" s="179"/>
      <c r="D713" s="18" t="s">
        <v>358</v>
      </c>
      <c r="E713" s="26"/>
      <c r="F713" s="26"/>
      <c r="G713" s="26">
        <v>0.25</v>
      </c>
      <c r="H713" s="26"/>
    </row>
    <row r="714" spans="1:8" ht="15.75" customHeight="1" x14ac:dyDescent="0.25">
      <c r="A714" s="32">
        <v>710</v>
      </c>
      <c r="B714" s="179"/>
      <c r="C714" s="179"/>
      <c r="D714" s="18" t="s">
        <v>605</v>
      </c>
      <c r="E714" s="26"/>
      <c r="F714" s="26"/>
      <c r="G714" s="26">
        <v>0.5</v>
      </c>
      <c r="H714" s="26"/>
    </row>
    <row r="715" spans="1:8" ht="15.75" customHeight="1" x14ac:dyDescent="0.25">
      <c r="A715" s="32">
        <v>711</v>
      </c>
      <c r="B715" s="179"/>
      <c r="C715" s="179"/>
      <c r="D715" s="18" t="s">
        <v>1042</v>
      </c>
      <c r="E715" s="26"/>
      <c r="F715" s="26"/>
      <c r="G715" s="26">
        <v>0.75</v>
      </c>
      <c r="H715" s="26"/>
    </row>
    <row r="716" spans="1:8" ht="15.75" customHeight="1" x14ac:dyDescent="0.25">
      <c r="A716" s="32">
        <v>712</v>
      </c>
      <c r="B716" s="179"/>
      <c r="C716" s="179"/>
      <c r="D716" s="18" t="s">
        <v>1043</v>
      </c>
      <c r="E716" s="26"/>
      <c r="F716" s="26"/>
      <c r="G716" s="26">
        <v>1.5</v>
      </c>
      <c r="H716" s="26"/>
    </row>
    <row r="717" spans="1:8" ht="15.75" customHeight="1" x14ac:dyDescent="0.25">
      <c r="A717" s="32">
        <v>713</v>
      </c>
      <c r="B717" s="179"/>
      <c r="C717" s="179"/>
      <c r="D717" s="18" t="s">
        <v>1006</v>
      </c>
      <c r="E717" s="26"/>
      <c r="F717" s="26"/>
      <c r="G717" s="26">
        <v>2.5</v>
      </c>
      <c r="H717" s="26"/>
    </row>
    <row r="718" spans="1:8" ht="15.75" customHeight="1" x14ac:dyDescent="0.25">
      <c r="A718" s="32">
        <v>714</v>
      </c>
      <c r="B718" s="179"/>
      <c r="C718" s="179"/>
      <c r="D718" s="18" t="s">
        <v>1044</v>
      </c>
      <c r="E718" s="26"/>
      <c r="F718" s="26"/>
      <c r="G718" s="26">
        <v>2</v>
      </c>
      <c r="H718" s="26"/>
    </row>
    <row r="719" spans="1:8" ht="15.75" customHeight="1" x14ac:dyDescent="0.25">
      <c r="A719" s="32">
        <v>715</v>
      </c>
      <c r="B719" s="179"/>
      <c r="C719" s="179"/>
      <c r="D719" s="18" t="s">
        <v>383</v>
      </c>
      <c r="E719" s="26"/>
      <c r="F719" s="26"/>
      <c r="G719" s="26">
        <v>0.25</v>
      </c>
      <c r="H719" s="26"/>
    </row>
    <row r="720" spans="1:8" ht="15.75" customHeight="1" x14ac:dyDescent="0.25">
      <c r="A720" s="32">
        <v>716</v>
      </c>
      <c r="B720" s="179"/>
      <c r="C720" s="179"/>
      <c r="D720" s="18" t="s">
        <v>1045</v>
      </c>
      <c r="E720" s="26"/>
      <c r="F720" s="26"/>
      <c r="G720" s="26">
        <v>1.2</v>
      </c>
      <c r="H720" s="26"/>
    </row>
    <row r="721" spans="1:8" ht="15.75" customHeight="1" x14ac:dyDescent="0.25">
      <c r="A721" s="32">
        <v>717</v>
      </c>
      <c r="B721" s="179"/>
      <c r="C721" s="179"/>
      <c r="D721" s="18" t="s">
        <v>1046</v>
      </c>
      <c r="E721" s="26"/>
      <c r="F721" s="26"/>
      <c r="G721" s="26">
        <v>0.5</v>
      </c>
      <c r="H721" s="26"/>
    </row>
    <row r="722" spans="1:8" ht="15.75" customHeight="1" x14ac:dyDescent="0.25">
      <c r="A722" s="32">
        <v>718</v>
      </c>
      <c r="B722" s="179"/>
      <c r="C722" s="179"/>
      <c r="D722" s="18" t="s">
        <v>1047</v>
      </c>
      <c r="E722" s="26"/>
      <c r="F722" s="26"/>
      <c r="G722" s="26">
        <v>0.25</v>
      </c>
      <c r="H722" s="26"/>
    </row>
    <row r="723" spans="1:8" ht="15.75" customHeight="1" x14ac:dyDescent="0.25">
      <c r="A723" s="32">
        <v>719</v>
      </c>
      <c r="B723" s="179"/>
      <c r="C723" s="179"/>
      <c r="D723" s="18" t="s">
        <v>1048</v>
      </c>
      <c r="E723" s="26"/>
      <c r="F723" s="26"/>
      <c r="G723" s="26">
        <v>1</v>
      </c>
      <c r="H723" s="26"/>
    </row>
    <row r="724" spans="1:8" ht="15.75" customHeight="1" x14ac:dyDescent="0.25">
      <c r="A724" s="32">
        <v>720</v>
      </c>
      <c r="B724" s="179"/>
      <c r="C724" s="179"/>
      <c r="D724" s="18" t="s">
        <v>1049</v>
      </c>
      <c r="E724" s="26"/>
      <c r="F724" s="26"/>
      <c r="G724" s="26">
        <v>0.75</v>
      </c>
      <c r="H724" s="26"/>
    </row>
    <row r="725" spans="1:8" ht="15.75" customHeight="1" x14ac:dyDescent="0.25">
      <c r="A725" s="32">
        <v>721</v>
      </c>
      <c r="B725" s="179"/>
      <c r="C725" s="179"/>
      <c r="D725" s="18" t="s">
        <v>1050</v>
      </c>
      <c r="E725" s="26"/>
      <c r="F725" s="26"/>
      <c r="G725" s="26">
        <v>2</v>
      </c>
      <c r="H725" s="26"/>
    </row>
    <row r="726" spans="1:8" ht="15.75" customHeight="1" x14ac:dyDescent="0.25">
      <c r="A726" s="32">
        <v>722</v>
      </c>
      <c r="B726" s="179"/>
      <c r="C726" s="179"/>
      <c r="D726" s="18" t="s">
        <v>1051</v>
      </c>
      <c r="E726" s="26"/>
      <c r="F726" s="26"/>
      <c r="G726" s="26">
        <v>0.25</v>
      </c>
      <c r="H726" s="26"/>
    </row>
    <row r="727" spans="1:8" ht="15.75" customHeight="1" x14ac:dyDescent="0.25">
      <c r="A727" s="32">
        <v>723</v>
      </c>
      <c r="B727" s="179"/>
      <c r="C727" s="179"/>
      <c r="D727" s="18" t="s">
        <v>1052</v>
      </c>
      <c r="E727" s="26"/>
      <c r="F727" s="26"/>
      <c r="G727" s="26">
        <v>0.25</v>
      </c>
      <c r="H727" s="26"/>
    </row>
    <row r="728" spans="1:8" ht="15.75" customHeight="1" x14ac:dyDescent="0.25">
      <c r="A728" s="32">
        <v>724</v>
      </c>
      <c r="B728" s="179"/>
      <c r="C728" s="179"/>
      <c r="D728" s="18" t="s">
        <v>1053</v>
      </c>
      <c r="E728" s="26"/>
      <c r="F728" s="26"/>
      <c r="G728" s="26">
        <v>1.5</v>
      </c>
      <c r="H728" s="26"/>
    </row>
    <row r="729" spans="1:8" ht="15.75" customHeight="1" x14ac:dyDescent="0.25">
      <c r="A729" s="32">
        <v>725</v>
      </c>
      <c r="B729" s="179"/>
      <c r="C729" s="179"/>
      <c r="D729" s="18" t="s">
        <v>1054</v>
      </c>
      <c r="E729" s="26"/>
      <c r="F729" s="26"/>
      <c r="G729" s="26">
        <v>0.25</v>
      </c>
      <c r="H729" s="26"/>
    </row>
    <row r="730" spans="1:8" ht="15.75" customHeight="1" x14ac:dyDescent="0.25">
      <c r="A730" s="32">
        <v>726</v>
      </c>
      <c r="B730" s="179"/>
      <c r="C730" s="179"/>
      <c r="D730" s="18" t="s">
        <v>1055</v>
      </c>
      <c r="E730" s="26"/>
      <c r="F730" s="26"/>
      <c r="G730" s="26">
        <v>0.5</v>
      </c>
      <c r="H730" s="26"/>
    </row>
    <row r="731" spans="1:8" ht="15.75" customHeight="1" x14ac:dyDescent="0.25">
      <c r="A731" s="32">
        <v>727</v>
      </c>
      <c r="B731" s="179"/>
      <c r="C731" s="179"/>
      <c r="D731" s="18" t="s">
        <v>1056</v>
      </c>
      <c r="E731" s="26"/>
      <c r="F731" s="26"/>
      <c r="G731" s="26">
        <v>1.5</v>
      </c>
      <c r="H731" s="26"/>
    </row>
    <row r="732" spans="1:8" ht="15.75" customHeight="1" x14ac:dyDescent="0.25">
      <c r="A732" s="32">
        <v>728</v>
      </c>
      <c r="B732" s="179"/>
      <c r="C732" s="179"/>
      <c r="D732" s="18" t="s">
        <v>1057</v>
      </c>
      <c r="E732" s="26"/>
      <c r="F732" s="26"/>
      <c r="G732" s="26">
        <v>0.15</v>
      </c>
      <c r="H732" s="26"/>
    </row>
    <row r="733" spans="1:8" ht="15.75" customHeight="1" x14ac:dyDescent="0.25">
      <c r="A733" s="32">
        <v>729</v>
      </c>
      <c r="B733" s="179"/>
      <c r="C733" s="179"/>
      <c r="D733" s="18" t="s">
        <v>1058</v>
      </c>
      <c r="E733" s="26"/>
      <c r="F733" s="26"/>
      <c r="G733" s="26">
        <v>0.25</v>
      </c>
      <c r="H733" s="26"/>
    </row>
    <row r="734" spans="1:8" ht="15.75" customHeight="1" x14ac:dyDescent="0.25">
      <c r="A734" s="32">
        <v>730</v>
      </c>
      <c r="B734" s="179"/>
      <c r="C734" s="180"/>
      <c r="D734" s="18" t="s">
        <v>1059</v>
      </c>
      <c r="E734" s="26"/>
      <c r="F734" s="26"/>
      <c r="G734" s="26">
        <v>0.5</v>
      </c>
      <c r="H734" s="26"/>
    </row>
    <row r="735" spans="1:8" ht="15.75" customHeight="1" x14ac:dyDescent="0.25">
      <c r="A735" s="32">
        <v>731</v>
      </c>
      <c r="B735" s="179"/>
      <c r="C735" s="178" t="s">
        <v>1060</v>
      </c>
      <c r="D735" s="18" t="s">
        <v>1061</v>
      </c>
      <c r="E735" s="26"/>
      <c r="F735" s="26"/>
      <c r="G735" s="26">
        <v>2</v>
      </c>
      <c r="H735" s="26"/>
    </row>
    <row r="736" spans="1:8" ht="15.75" customHeight="1" x14ac:dyDescent="0.25">
      <c r="A736" s="32">
        <v>732</v>
      </c>
      <c r="B736" s="179"/>
      <c r="C736" s="179"/>
      <c r="D736" s="18" t="s">
        <v>1062</v>
      </c>
      <c r="E736" s="26"/>
      <c r="F736" s="26"/>
      <c r="G736" s="26">
        <v>0.2</v>
      </c>
      <c r="H736" s="26"/>
    </row>
    <row r="737" spans="1:8" ht="15.75" customHeight="1" x14ac:dyDescent="0.25">
      <c r="A737" s="32">
        <v>733</v>
      </c>
      <c r="B737" s="179"/>
      <c r="C737" s="179"/>
      <c r="D737" s="18" t="s">
        <v>1063</v>
      </c>
      <c r="E737" s="26"/>
      <c r="F737" s="26"/>
      <c r="G737" s="26">
        <v>0.2</v>
      </c>
      <c r="H737" s="26"/>
    </row>
    <row r="738" spans="1:8" ht="15.75" customHeight="1" x14ac:dyDescent="0.25">
      <c r="A738" s="32">
        <v>734</v>
      </c>
      <c r="B738" s="179"/>
      <c r="C738" s="179"/>
      <c r="D738" s="18" t="s">
        <v>1064</v>
      </c>
      <c r="E738" s="26"/>
      <c r="F738" s="26"/>
      <c r="G738" s="26">
        <v>0.15</v>
      </c>
      <c r="H738" s="26"/>
    </row>
    <row r="739" spans="1:8" ht="15.75" customHeight="1" x14ac:dyDescent="0.25">
      <c r="A739" s="32">
        <v>735</v>
      </c>
      <c r="B739" s="179"/>
      <c r="C739" s="179"/>
      <c r="D739" s="18" t="s">
        <v>1065</v>
      </c>
      <c r="E739" s="26"/>
      <c r="F739" s="26"/>
      <c r="G739" s="26">
        <v>1</v>
      </c>
      <c r="H739" s="26"/>
    </row>
    <row r="740" spans="1:8" ht="15.75" customHeight="1" x14ac:dyDescent="0.25">
      <c r="A740" s="32">
        <v>736</v>
      </c>
      <c r="B740" s="179"/>
      <c r="C740" s="179"/>
      <c r="D740" s="18" t="s">
        <v>1066</v>
      </c>
      <c r="E740" s="26"/>
      <c r="F740" s="26"/>
      <c r="G740" s="26">
        <v>0.8</v>
      </c>
      <c r="H740" s="26"/>
    </row>
    <row r="741" spans="1:8" ht="15.75" customHeight="1" x14ac:dyDescent="0.25">
      <c r="A741" s="32">
        <v>737</v>
      </c>
      <c r="B741" s="179"/>
      <c r="C741" s="179"/>
      <c r="D741" s="18" t="s">
        <v>1067</v>
      </c>
      <c r="E741" s="26"/>
      <c r="F741" s="26"/>
      <c r="G741" s="26">
        <v>1.5</v>
      </c>
      <c r="H741" s="26"/>
    </row>
    <row r="742" spans="1:8" ht="15.75" customHeight="1" x14ac:dyDescent="0.25">
      <c r="A742" s="32">
        <v>738</v>
      </c>
      <c r="B742" s="179"/>
      <c r="C742" s="179"/>
      <c r="D742" s="18" t="s">
        <v>1068</v>
      </c>
      <c r="E742" s="26"/>
      <c r="F742" s="26"/>
      <c r="G742" s="26">
        <v>0.15</v>
      </c>
      <c r="H742" s="26"/>
    </row>
    <row r="743" spans="1:8" ht="15.75" customHeight="1" x14ac:dyDescent="0.25">
      <c r="A743" s="32">
        <v>739</v>
      </c>
      <c r="B743" s="179"/>
      <c r="C743" s="179"/>
      <c r="D743" s="18" t="s">
        <v>1069</v>
      </c>
      <c r="E743" s="26"/>
      <c r="F743" s="26"/>
      <c r="G743" s="26">
        <v>0.6</v>
      </c>
      <c r="H743" s="26"/>
    </row>
    <row r="744" spans="1:8" ht="15.75" customHeight="1" x14ac:dyDescent="0.25">
      <c r="A744" s="32">
        <v>740</v>
      </c>
      <c r="B744" s="179"/>
      <c r="C744" s="179"/>
      <c r="D744" s="18" t="s">
        <v>1070</v>
      </c>
      <c r="E744" s="26"/>
      <c r="F744" s="26"/>
      <c r="G744" s="26">
        <v>0.2</v>
      </c>
      <c r="H744" s="26"/>
    </row>
    <row r="745" spans="1:8" ht="15.75" customHeight="1" x14ac:dyDescent="0.25">
      <c r="A745" s="32">
        <v>741</v>
      </c>
      <c r="B745" s="179"/>
      <c r="C745" s="179"/>
      <c r="D745" s="18" t="s">
        <v>1071</v>
      </c>
      <c r="E745" s="26"/>
      <c r="F745" s="26"/>
      <c r="G745" s="26">
        <v>0.25</v>
      </c>
      <c r="H745" s="26"/>
    </row>
    <row r="746" spans="1:8" ht="15.75" customHeight="1" x14ac:dyDescent="0.25">
      <c r="A746" s="32">
        <v>742</v>
      </c>
      <c r="B746" s="179"/>
      <c r="C746" s="179"/>
      <c r="D746" s="18" t="s">
        <v>1072</v>
      </c>
      <c r="E746" s="26"/>
      <c r="F746" s="26"/>
      <c r="G746" s="26">
        <v>2</v>
      </c>
      <c r="H746" s="26"/>
    </row>
    <row r="747" spans="1:8" ht="15.75" customHeight="1" x14ac:dyDescent="0.25">
      <c r="A747" s="32">
        <v>743</v>
      </c>
      <c r="B747" s="179"/>
      <c r="C747" s="179"/>
      <c r="D747" s="18" t="s">
        <v>1073</v>
      </c>
      <c r="E747" s="26"/>
      <c r="F747" s="26"/>
      <c r="G747" s="26">
        <v>1</v>
      </c>
      <c r="H747" s="26"/>
    </row>
    <row r="748" spans="1:8" ht="15.75" customHeight="1" x14ac:dyDescent="0.25">
      <c r="A748" s="32">
        <v>744</v>
      </c>
      <c r="B748" s="179"/>
      <c r="C748" s="179"/>
      <c r="D748" s="18" t="s">
        <v>1074</v>
      </c>
      <c r="E748" s="26"/>
      <c r="F748" s="26"/>
      <c r="G748" s="26">
        <v>0.1</v>
      </c>
      <c r="H748" s="26"/>
    </row>
    <row r="749" spans="1:8" ht="15.75" customHeight="1" x14ac:dyDescent="0.25">
      <c r="A749" s="32">
        <v>745</v>
      </c>
      <c r="B749" s="179"/>
      <c r="C749" s="179"/>
      <c r="D749" s="18" t="s">
        <v>1075</v>
      </c>
      <c r="E749" s="26"/>
      <c r="F749" s="26"/>
      <c r="G749" s="26">
        <v>1</v>
      </c>
      <c r="H749" s="26"/>
    </row>
    <row r="750" spans="1:8" ht="15.75" customHeight="1" x14ac:dyDescent="0.25">
      <c r="A750" s="32">
        <v>746</v>
      </c>
      <c r="B750" s="179"/>
      <c r="C750" s="179"/>
      <c r="D750" s="18" t="s">
        <v>1076</v>
      </c>
      <c r="E750" s="26"/>
      <c r="F750" s="26"/>
      <c r="G750" s="26">
        <v>0.15</v>
      </c>
      <c r="H750" s="26"/>
    </row>
    <row r="751" spans="1:8" ht="15.75" customHeight="1" x14ac:dyDescent="0.25">
      <c r="A751" s="32">
        <v>747</v>
      </c>
      <c r="B751" s="179"/>
      <c r="C751" s="179"/>
      <c r="D751" s="18" t="s">
        <v>1077</v>
      </c>
      <c r="E751" s="26"/>
      <c r="F751" s="26"/>
      <c r="G751" s="26">
        <v>0.4</v>
      </c>
      <c r="H751" s="26"/>
    </row>
    <row r="752" spans="1:8" ht="15.75" customHeight="1" x14ac:dyDescent="0.25">
      <c r="A752" s="32">
        <v>748</v>
      </c>
      <c r="B752" s="179"/>
      <c r="C752" s="179"/>
      <c r="D752" s="18" t="s">
        <v>1078</v>
      </c>
      <c r="E752" s="26"/>
      <c r="F752" s="26"/>
      <c r="G752" s="26">
        <v>0.3</v>
      </c>
      <c r="H752" s="26"/>
    </row>
    <row r="753" spans="1:8" ht="15.75" customHeight="1" x14ac:dyDescent="0.25">
      <c r="A753" s="32">
        <v>749</v>
      </c>
      <c r="B753" s="179"/>
      <c r="C753" s="179"/>
      <c r="D753" s="18" t="s">
        <v>1079</v>
      </c>
      <c r="E753" s="26"/>
      <c r="F753" s="26"/>
      <c r="G753" s="26">
        <v>0.15</v>
      </c>
      <c r="H753" s="26"/>
    </row>
    <row r="754" spans="1:8" ht="15.75" customHeight="1" x14ac:dyDescent="0.25">
      <c r="A754" s="32">
        <v>750</v>
      </c>
      <c r="B754" s="179"/>
      <c r="C754" s="179"/>
      <c r="D754" s="18" t="s">
        <v>1080</v>
      </c>
      <c r="E754" s="26"/>
      <c r="F754" s="26"/>
      <c r="G754" s="26">
        <v>0.25</v>
      </c>
      <c r="H754" s="26"/>
    </row>
    <row r="755" spans="1:8" ht="15.75" customHeight="1" x14ac:dyDescent="0.25">
      <c r="A755" s="32">
        <v>751</v>
      </c>
      <c r="B755" s="179"/>
      <c r="C755" s="179"/>
      <c r="D755" s="18" t="s">
        <v>1081</v>
      </c>
      <c r="E755" s="26"/>
      <c r="F755" s="26"/>
      <c r="G755" s="26">
        <v>0.25</v>
      </c>
      <c r="H755" s="26"/>
    </row>
    <row r="756" spans="1:8" ht="15.75" customHeight="1" x14ac:dyDescent="0.25">
      <c r="A756" s="32">
        <v>752</v>
      </c>
      <c r="B756" s="179"/>
      <c r="C756" s="180"/>
      <c r="D756" s="18" t="s">
        <v>596</v>
      </c>
      <c r="E756" s="26"/>
      <c r="F756" s="26"/>
      <c r="G756" s="26">
        <v>0.15</v>
      </c>
      <c r="H756" s="26"/>
    </row>
    <row r="757" spans="1:8" ht="15.75" customHeight="1" x14ac:dyDescent="0.25">
      <c r="A757" s="32">
        <v>753</v>
      </c>
      <c r="B757" s="179"/>
      <c r="C757" s="178" t="s">
        <v>1082</v>
      </c>
      <c r="D757" s="18" t="s">
        <v>1083</v>
      </c>
      <c r="E757" s="26"/>
      <c r="F757" s="26"/>
      <c r="G757" s="26">
        <v>0.8</v>
      </c>
      <c r="H757" s="26"/>
    </row>
    <row r="758" spans="1:8" ht="15.75" customHeight="1" x14ac:dyDescent="0.25">
      <c r="A758" s="32">
        <v>754</v>
      </c>
      <c r="B758" s="179"/>
      <c r="C758" s="179"/>
      <c r="D758" s="18" t="s">
        <v>1084</v>
      </c>
      <c r="E758" s="26"/>
      <c r="F758" s="26"/>
      <c r="G758" s="26">
        <v>1.5</v>
      </c>
      <c r="H758" s="26"/>
    </row>
    <row r="759" spans="1:8" ht="15.75" customHeight="1" x14ac:dyDescent="0.25">
      <c r="A759" s="32">
        <v>755</v>
      </c>
      <c r="B759" s="179"/>
      <c r="C759" s="179"/>
      <c r="D759" s="18" t="s">
        <v>1085</v>
      </c>
      <c r="E759" s="26"/>
      <c r="F759" s="26"/>
      <c r="G759" s="26">
        <v>0.7</v>
      </c>
      <c r="H759" s="26"/>
    </row>
    <row r="760" spans="1:8" ht="15.75" customHeight="1" x14ac:dyDescent="0.25">
      <c r="A760" s="32">
        <v>756</v>
      </c>
      <c r="B760" s="179"/>
      <c r="C760" s="179"/>
      <c r="D760" s="18" t="s">
        <v>1086</v>
      </c>
      <c r="E760" s="26"/>
      <c r="F760" s="26"/>
      <c r="G760" s="26">
        <v>0.6</v>
      </c>
      <c r="H760" s="26"/>
    </row>
    <row r="761" spans="1:8" ht="15.75" customHeight="1" x14ac:dyDescent="0.25">
      <c r="A761" s="32">
        <v>757</v>
      </c>
      <c r="B761" s="179"/>
      <c r="C761" s="179"/>
      <c r="D761" s="18" t="s">
        <v>1087</v>
      </c>
      <c r="E761" s="26"/>
      <c r="F761" s="26"/>
      <c r="G761" s="26">
        <v>1.7</v>
      </c>
      <c r="H761" s="26"/>
    </row>
    <row r="762" spans="1:8" ht="15.75" customHeight="1" x14ac:dyDescent="0.25">
      <c r="A762" s="32">
        <v>758</v>
      </c>
      <c r="B762" s="179"/>
      <c r="C762" s="179"/>
      <c r="D762" s="18" t="s">
        <v>1052</v>
      </c>
      <c r="E762" s="26"/>
      <c r="F762" s="26"/>
      <c r="G762" s="26">
        <v>0.8</v>
      </c>
      <c r="H762" s="26"/>
    </row>
    <row r="763" spans="1:8" ht="15.75" customHeight="1" x14ac:dyDescent="0.25">
      <c r="A763" s="32">
        <v>759</v>
      </c>
      <c r="B763" s="179"/>
      <c r="C763" s="179"/>
      <c r="D763" s="18" t="s">
        <v>1088</v>
      </c>
      <c r="E763" s="26"/>
      <c r="F763" s="26"/>
      <c r="G763" s="26">
        <v>0.6</v>
      </c>
      <c r="H763" s="26"/>
    </row>
    <row r="764" spans="1:8" ht="15.75" customHeight="1" x14ac:dyDescent="0.25">
      <c r="A764" s="32">
        <v>760</v>
      </c>
      <c r="B764" s="179"/>
      <c r="C764" s="179"/>
      <c r="D764" s="18" t="s">
        <v>1089</v>
      </c>
      <c r="E764" s="26"/>
      <c r="F764" s="26"/>
      <c r="G764" s="26">
        <v>0.6</v>
      </c>
      <c r="H764" s="26"/>
    </row>
    <row r="765" spans="1:8" ht="15.75" customHeight="1" x14ac:dyDescent="0.25">
      <c r="A765" s="32">
        <v>761</v>
      </c>
      <c r="B765" s="179"/>
      <c r="C765" s="179"/>
      <c r="D765" s="18" t="s">
        <v>1090</v>
      </c>
      <c r="E765" s="26"/>
      <c r="F765" s="26"/>
      <c r="G765" s="26">
        <v>1.3</v>
      </c>
      <c r="H765" s="26"/>
    </row>
    <row r="766" spans="1:8" ht="15.75" customHeight="1" x14ac:dyDescent="0.25">
      <c r="A766" s="32">
        <v>762</v>
      </c>
      <c r="B766" s="179"/>
      <c r="C766" s="180"/>
      <c r="D766" s="18" t="s">
        <v>1091</v>
      </c>
      <c r="E766" s="26"/>
      <c r="F766" s="26"/>
      <c r="G766" s="26">
        <v>0.6</v>
      </c>
      <c r="H766" s="26"/>
    </row>
    <row r="767" spans="1:8" ht="15.75" customHeight="1" x14ac:dyDescent="0.25">
      <c r="A767" s="32">
        <v>763</v>
      </c>
      <c r="B767" s="179"/>
      <c r="C767" s="178" t="s">
        <v>1092</v>
      </c>
      <c r="D767" s="18" t="s">
        <v>537</v>
      </c>
      <c r="E767" s="26"/>
      <c r="F767" s="26"/>
      <c r="G767" s="26">
        <v>0.5</v>
      </c>
      <c r="H767" s="26"/>
    </row>
    <row r="768" spans="1:8" ht="15.75" customHeight="1" x14ac:dyDescent="0.25">
      <c r="A768" s="32">
        <v>764</v>
      </c>
      <c r="B768" s="179"/>
      <c r="C768" s="179"/>
      <c r="D768" s="18" t="s">
        <v>1093</v>
      </c>
      <c r="E768" s="26"/>
      <c r="F768" s="26"/>
      <c r="G768" s="26">
        <v>0.5</v>
      </c>
      <c r="H768" s="26"/>
    </row>
    <row r="769" spans="1:8" ht="15.75" customHeight="1" x14ac:dyDescent="0.25">
      <c r="A769" s="32">
        <v>765</v>
      </c>
      <c r="B769" s="179"/>
      <c r="C769" s="179"/>
      <c r="D769" s="18" t="s">
        <v>1094</v>
      </c>
      <c r="E769" s="26"/>
      <c r="F769" s="26"/>
      <c r="G769" s="26">
        <v>0.5</v>
      </c>
      <c r="H769" s="26"/>
    </row>
    <row r="770" spans="1:8" ht="15.75" customHeight="1" x14ac:dyDescent="0.25">
      <c r="A770" s="32">
        <v>766</v>
      </c>
      <c r="B770" s="179"/>
      <c r="C770" s="179"/>
      <c r="D770" s="18" t="s">
        <v>549</v>
      </c>
      <c r="E770" s="26"/>
      <c r="F770" s="26"/>
      <c r="G770" s="26">
        <v>0.5</v>
      </c>
      <c r="H770" s="26"/>
    </row>
    <row r="771" spans="1:8" ht="15.75" customHeight="1" x14ac:dyDescent="0.25">
      <c r="A771" s="32">
        <v>767</v>
      </c>
      <c r="B771" s="179"/>
      <c r="C771" s="179"/>
      <c r="D771" s="18" t="s">
        <v>1095</v>
      </c>
      <c r="E771" s="26"/>
      <c r="F771" s="26"/>
      <c r="G771" s="26">
        <v>0.25</v>
      </c>
      <c r="H771" s="26"/>
    </row>
    <row r="772" spans="1:8" ht="15.75" customHeight="1" x14ac:dyDescent="0.25">
      <c r="A772" s="32">
        <v>768</v>
      </c>
      <c r="B772" s="179"/>
      <c r="C772" s="179"/>
      <c r="D772" s="18" t="s">
        <v>1096</v>
      </c>
      <c r="E772" s="26"/>
      <c r="F772" s="26"/>
      <c r="G772" s="26">
        <v>0.5</v>
      </c>
      <c r="H772" s="26"/>
    </row>
    <row r="773" spans="1:8" ht="15.75" customHeight="1" x14ac:dyDescent="0.25">
      <c r="A773" s="32">
        <v>769</v>
      </c>
      <c r="B773" s="179"/>
      <c r="C773" s="179"/>
      <c r="D773" s="18" t="s">
        <v>1097</v>
      </c>
      <c r="E773" s="26"/>
      <c r="F773" s="26"/>
      <c r="G773" s="26">
        <v>0.5</v>
      </c>
      <c r="H773" s="26"/>
    </row>
    <row r="774" spans="1:8" ht="15.75" customHeight="1" x14ac:dyDescent="0.25">
      <c r="A774" s="32">
        <v>770</v>
      </c>
      <c r="B774" s="179"/>
      <c r="C774" s="179"/>
      <c r="D774" s="18" t="s">
        <v>1098</v>
      </c>
      <c r="E774" s="26"/>
      <c r="F774" s="26"/>
      <c r="G774" s="26">
        <v>0.3</v>
      </c>
      <c r="H774" s="26"/>
    </row>
    <row r="775" spans="1:8" ht="15.75" customHeight="1" x14ac:dyDescent="0.25">
      <c r="A775" s="32">
        <v>771</v>
      </c>
      <c r="B775" s="179"/>
      <c r="C775" s="179"/>
      <c r="D775" s="18" t="s">
        <v>516</v>
      </c>
      <c r="E775" s="26"/>
      <c r="F775" s="26"/>
      <c r="G775" s="26">
        <v>0.5</v>
      </c>
      <c r="H775" s="26"/>
    </row>
    <row r="776" spans="1:8" ht="15.75" customHeight="1" x14ac:dyDescent="0.25">
      <c r="A776" s="32">
        <v>772</v>
      </c>
      <c r="B776" s="179"/>
      <c r="C776" s="179"/>
      <c r="D776" s="18" t="s">
        <v>409</v>
      </c>
      <c r="E776" s="26"/>
      <c r="F776" s="26"/>
      <c r="G776" s="26">
        <v>0.5</v>
      </c>
      <c r="H776" s="26"/>
    </row>
    <row r="777" spans="1:8" ht="15.75" customHeight="1" x14ac:dyDescent="0.25">
      <c r="A777" s="32">
        <v>773</v>
      </c>
      <c r="B777" s="179"/>
      <c r="C777" s="179"/>
      <c r="D777" s="18" t="s">
        <v>1099</v>
      </c>
      <c r="E777" s="26"/>
      <c r="F777" s="26"/>
      <c r="G777" s="26">
        <v>0.3</v>
      </c>
      <c r="H777" s="26"/>
    </row>
    <row r="778" spans="1:8" ht="15.75" customHeight="1" x14ac:dyDescent="0.25">
      <c r="A778" s="32">
        <v>774</v>
      </c>
      <c r="B778" s="179"/>
      <c r="C778" s="179"/>
      <c r="D778" s="18" t="s">
        <v>1100</v>
      </c>
      <c r="E778" s="26"/>
      <c r="F778" s="26"/>
      <c r="G778" s="26">
        <v>0.5</v>
      </c>
      <c r="H778" s="26"/>
    </row>
    <row r="779" spans="1:8" ht="15.75" customHeight="1" x14ac:dyDescent="0.25">
      <c r="A779" s="32">
        <v>775</v>
      </c>
      <c r="B779" s="179"/>
      <c r="C779" s="179"/>
      <c r="D779" s="18" t="s">
        <v>521</v>
      </c>
      <c r="E779" s="26"/>
      <c r="F779" s="26"/>
      <c r="G779" s="26">
        <v>0.5</v>
      </c>
      <c r="H779" s="26"/>
    </row>
    <row r="780" spans="1:8" ht="15.75" customHeight="1" x14ac:dyDescent="0.25">
      <c r="A780" s="32">
        <v>776</v>
      </c>
      <c r="B780" s="179"/>
      <c r="C780" s="179"/>
      <c r="D780" s="18" t="s">
        <v>1101</v>
      </c>
      <c r="E780" s="26"/>
      <c r="F780" s="26"/>
      <c r="G780" s="26">
        <v>0.5</v>
      </c>
      <c r="H780" s="26"/>
    </row>
    <row r="781" spans="1:8" ht="15.75" customHeight="1" x14ac:dyDescent="0.25">
      <c r="A781" s="32">
        <v>777</v>
      </c>
      <c r="B781" s="179"/>
      <c r="C781" s="179"/>
      <c r="D781" s="18" t="s">
        <v>1052</v>
      </c>
      <c r="E781" s="26"/>
      <c r="F781" s="26"/>
      <c r="G781" s="26">
        <v>0.5</v>
      </c>
      <c r="H781" s="26"/>
    </row>
    <row r="782" spans="1:8" ht="15.75" customHeight="1" x14ac:dyDescent="0.25">
      <c r="A782" s="32">
        <v>778</v>
      </c>
      <c r="B782" s="179"/>
      <c r="C782" s="179"/>
      <c r="D782" s="18" t="s">
        <v>1102</v>
      </c>
      <c r="E782" s="26"/>
      <c r="F782" s="26"/>
      <c r="G782" s="26">
        <v>0.5</v>
      </c>
      <c r="H782" s="26"/>
    </row>
    <row r="783" spans="1:8" ht="15.75" customHeight="1" x14ac:dyDescent="0.25">
      <c r="A783" s="32">
        <v>779</v>
      </c>
      <c r="B783" s="179"/>
      <c r="C783" s="179"/>
      <c r="D783" s="18" t="s">
        <v>1103</v>
      </c>
      <c r="E783" s="26"/>
      <c r="F783" s="26"/>
      <c r="G783" s="26">
        <v>0.3</v>
      </c>
      <c r="H783" s="26"/>
    </row>
    <row r="784" spans="1:8" ht="15.75" customHeight="1" x14ac:dyDescent="0.25">
      <c r="A784" s="32">
        <v>780</v>
      </c>
      <c r="B784" s="179"/>
      <c r="C784" s="179"/>
      <c r="D784" s="18" t="s">
        <v>1104</v>
      </c>
      <c r="E784" s="26"/>
      <c r="F784" s="26"/>
      <c r="G784" s="26">
        <v>0.4</v>
      </c>
      <c r="H784" s="26"/>
    </row>
    <row r="785" spans="1:8" ht="15.75" customHeight="1" x14ac:dyDescent="0.25">
      <c r="A785" s="32">
        <v>781</v>
      </c>
      <c r="B785" s="179"/>
      <c r="C785" s="179"/>
      <c r="D785" s="18" t="s">
        <v>1105</v>
      </c>
      <c r="E785" s="26"/>
      <c r="F785" s="26"/>
      <c r="G785" s="26">
        <v>0.5</v>
      </c>
      <c r="H785" s="26"/>
    </row>
    <row r="786" spans="1:8" ht="15.75" customHeight="1" x14ac:dyDescent="0.25">
      <c r="A786" s="32">
        <v>782</v>
      </c>
      <c r="B786" s="179"/>
      <c r="C786" s="179"/>
      <c r="D786" s="18" t="s">
        <v>1106</v>
      </c>
      <c r="E786" s="26"/>
      <c r="F786" s="26"/>
      <c r="G786" s="26">
        <v>0.5</v>
      </c>
      <c r="H786" s="26"/>
    </row>
    <row r="787" spans="1:8" ht="15.75" customHeight="1" x14ac:dyDescent="0.25">
      <c r="A787" s="32">
        <v>783</v>
      </c>
      <c r="B787" s="179"/>
      <c r="C787" s="179"/>
      <c r="D787" s="18" t="s">
        <v>1107</v>
      </c>
      <c r="E787" s="26"/>
      <c r="F787" s="26"/>
      <c r="G787" s="26">
        <v>0.5</v>
      </c>
      <c r="H787" s="26"/>
    </row>
    <row r="788" spans="1:8" ht="15.75" customHeight="1" x14ac:dyDescent="0.25">
      <c r="A788" s="32">
        <v>784</v>
      </c>
      <c r="B788" s="179"/>
      <c r="C788" s="179"/>
      <c r="D788" s="18" t="s">
        <v>1108</v>
      </c>
      <c r="E788" s="26"/>
      <c r="F788" s="26"/>
      <c r="G788" s="26">
        <v>0.5</v>
      </c>
      <c r="H788" s="26"/>
    </row>
    <row r="789" spans="1:8" ht="15.75" customHeight="1" x14ac:dyDescent="0.25">
      <c r="A789" s="32">
        <v>785</v>
      </c>
      <c r="B789" s="179"/>
      <c r="C789" s="179"/>
      <c r="D789" s="18" t="s">
        <v>1109</v>
      </c>
      <c r="E789" s="26"/>
      <c r="F789" s="26"/>
      <c r="G789" s="26">
        <v>0.5</v>
      </c>
      <c r="H789" s="26"/>
    </row>
    <row r="790" spans="1:8" ht="15.75" customHeight="1" x14ac:dyDescent="0.25">
      <c r="A790" s="32">
        <v>786</v>
      </c>
      <c r="B790" s="180"/>
      <c r="C790" s="180"/>
      <c r="D790" s="18" t="s">
        <v>479</v>
      </c>
      <c r="E790" s="26"/>
      <c r="F790" s="26"/>
      <c r="G790" s="26">
        <v>0.5</v>
      </c>
      <c r="H790" s="26"/>
    </row>
    <row r="791" spans="1:8" ht="15.75" customHeight="1" x14ac:dyDescent="0.25">
      <c r="A791" s="32">
        <v>787</v>
      </c>
      <c r="B791" s="178" t="s">
        <v>82</v>
      </c>
      <c r="C791" s="178" t="s">
        <v>1110</v>
      </c>
      <c r="D791" s="18" t="s">
        <v>1111</v>
      </c>
      <c r="E791" s="26"/>
      <c r="F791" s="26"/>
      <c r="G791" s="26">
        <v>2</v>
      </c>
      <c r="H791" s="26"/>
    </row>
    <row r="792" spans="1:8" ht="15.75" customHeight="1" x14ac:dyDescent="0.25">
      <c r="A792" s="32">
        <v>788</v>
      </c>
      <c r="B792" s="179"/>
      <c r="C792" s="180"/>
      <c r="D792" s="18" t="s">
        <v>1112</v>
      </c>
      <c r="E792" s="26"/>
      <c r="F792" s="26"/>
      <c r="G792" s="26">
        <v>0.75</v>
      </c>
      <c r="H792" s="26"/>
    </row>
    <row r="793" spans="1:8" ht="15.75" customHeight="1" x14ac:dyDescent="0.25">
      <c r="A793" s="32">
        <v>789</v>
      </c>
      <c r="B793" s="179"/>
      <c r="C793" s="178" t="s">
        <v>1113</v>
      </c>
      <c r="D793" s="18" t="s">
        <v>1114</v>
      </c>
      <c r="E793" s="26"/>
      <c r="F793" s="26"/>
      <c r="G793" s="26">
        <v>0.01</v>
      </c>
      <c r="H793" s="26"/>
    </row>
    <row r="794" spans="1:8" ht="15.75" customHeight="1" x14ac:dyDescent="0.25">
      <c r="A794" s="32">
        <v>790</v>
      </c>
      <c r="B794" s="179"/>
      <c r="C794" s="179"/>
      <c r="D794" s="18" t="s">
        <v>880</v>
      </c>
      <c r="E794" s="26"/>
      <c r="F794" s="26"/>
      <c r="G794" s="26">
        <v>0.01</v>
      </c>
      <c r="H794" s="26"/>
    </row>
    <row r="795" spans="1:8" ht="15.75" customHeight="1" x14ac:dyDescent="0.25">
      <c r="A795" s="32">
        <v>791</v>
      </c>
      <c r="B795" s="179"/>
      <c r="C795" s="179"/>
      <c r="D795" s="18" t="s">
        <v>880</v>
      </c>
      <c r="E795" s="26"/>
      <c r="F795" s="26"/>
      <c r="G795" s="26">
        <v>0.01</v>
      </c>
      <c r="H795" s="26"/>
    </row>
    <row r="796" spans="1:8" ht="15.75" customHeight="1" x14ac:dyDescent="0.25">
      <c r="A796" s="32">
        <v>792</v>
      </c>
      <c r="B796" s="179"/>
      <c r="C796" s="179"/>
      <c r="D796" s="18" t="s">
        <v>1115</v>
      </c>
      <c r="E796" s="26"/>
      <c r="F796" s="26"/>
      <c r="G796" s="26">
        <v>0.01</v>
      </c>
      <c r="H796" s="26"/>
    </row>
    <row r="797" spans="1:8" ht="15.75" customHeight="1" x14ac:dyDescent="0.25">
      <c r="A797" s="32">
        <v>793</v>
      </c>
      <c r="B797" s="179"/>
      <c r="C797" s="179"/>
      <c r="D797" s="18" t="s">
        <v>1116</v>
      </c>
      <c r="E797" s="26"/>
      <c r="F797" s="26"/>
      <c r="G797" s="26">
        <v>0.01</v>
      </c>
      <c r="H797" s="26"/>
    </row>
    <row r="798" spans="1:8" ht="15.75" customHeight="1" x14ac:dyDescent="0.25">
      <c r="A798" s="32">
        <v>794</v>
      </c>
      <c r="B798" s="179"/>
      <c r="C798" s="179"/>
      <c r="D798" s="18" t="s">
        <v>1117</v>
      </c>
      <c r="E798" s="26"/>
      <c r="F798" s="26"/>
      <c r="G798" s="26">
        <v>0.01</v>
      </c>
      <c r="H798" s="26"/>
    </row>
    <row r="799" spans="1:8" ht="15.75" customHeight="1" x14ac:dyDescent="0.25">
      <c r="A799" s="32">
        <v>795</v>
      </c>
      <c r="B799" s="179"/>
      <c r="C799" s="179"/>
      <c r="D799" s="18" t="s">
        <v>1118</v>
      </c>
      <c r="E799" s="26"/>
      <c r="F799" s="26"/>
      <c r="G799" s="26">
        <v>0.01</v>
      </c>
      <c r="H799" s="26"/>
    </row>
    <row r="800" spans="1:8" ht="15.75" customHeight="1" x14ac:dyDescent="0.25">
      <c r="A800" s="32">
        <v>796</v>
      </c>
      <c r="B800" s="179"/>
      <c r="C800" s="179"/>
      <c r="D800" s="18" t="s">
        <v>1119</v>
      </c>
      <c r="E800" s="26"/>
      <c r="F800" s="26"/>
      <c r="G800" s="26">
        <v>0.02</v>
      </c>
      <c r="H800" s="26"/>
    </row>
    <row r="801" spans="1:8" ht="15.75" customHeight="1" x14ac:dyDescent="0.25">
      <c r="A801" s="32">
        <v>797</v>
      </c>
      <c r="B801" s="179"/>
      <c r="C801" s="179"/>
      <c r="D801" s="18" t="s">
        <v>1119</v>
      </c>
      <c r="E801" s="26"/>
      <c r="F801" s="26"/>
      <c r="G801" s="26">
        <v>0.1</v>
      </c>
      <c r="H801" s="26"/>
    </row>
    <row r="802" spans="1:8" ht="15.75" customHeight="1" x14ac:dyDescent="0.25">
      <c r="A802" s="32">
        <v>798</v>
      </c>
      <c r="B802" s="179"/>
      <c r="C802" s="179"/>
      <c r="D802" s="18" t="s">
        <v>1120</v>
      </c>
      <c r="E802" s="26"/>
      <c r="F802" s="26"/>
      <c r="G802" s="26">
        <v>0.02</v>
      </c>
      <c r="H802" s="26"/>
    </row>
    <row r="803" spans="1:8" ht="15.75" customHeight="1" x14ac:dyDescent="0.25">
      <c r="A803" s="32">
        <v>799</v>
      </c>
      <c r="B803" s="179"/>
      <c r="C803" s="179"/>
      <c r="D803" s="18" t="s">
        <v>1121</v>
      </c>
      <c r="E803" s="26"/>
      <c r="F803" s="26"/>
      <c r="G803" s="26">
        <v>0.02</v>
      </c>
      <c r="H803" s="26"/>
    </row>
    <row r="804" spans="1:8" ht="15.75" customHeight="1" x14ac:dyDescent="0.25">
      <c r="A804" s="32">
        <v>800</v>
      </c>
      <c r="B804" s="179"/>
      <c r="C804" s="179"/>
      <c r="D804" s="18" t="s">
        <v>1122</v>
      </c>
      <c r="E804" s="26"/>
      <c r="F804" s="26"/>
      <c r="G804" s="26">
        <v>0.02</v>
      </c>
      <c r="H804" s="26"/>
    </row>
    <row r="805" spans="1:8" ht="15.75" customHeight="1" x14ac:dyDescent="0.25">
      <c r="A805" s="32">
        <v>801</v>
      </c>
      <c r="B805" s="179"/>
      <c r="C805" s="180"/>
      <c r="D805" s="18" t="s">
        <v>1123</v>
      </c>
      <c r="E805" s="26"/>
      <c r="F805" s="26"/>
      <c r="G805" s="26">
        <v>0.02</v>
      </c>
      <c r="H805" s="26"/>
    </row>
    <row r="806" spans="1:8" ht="15.75" customHeight="1" x14ac:dyDescent="0.25">
      <c r="A806" s="32">
        <v>802</v>
      </c>
      <c r="B806" s="179"/>
      <c r="C806" s="178" t="s">
        <v>1082</v>
      </c>
      <c r="D806" s="18" t="s">
        <v>1124</v>
      </c>
      <c r="E806" s="26"/>
      <c r="F806" s="26"/>
      <c r="G806" s="26">
        <v>0.1</v>
      </c>
      <c r="H806" s="26"/>
    </row>
    <row r="807" spans="1:8" ht="15.75" customHeight="1" x14ac:dyDescent="0.25">
      <c r="A807" s="32">
        <v>803</v>
      </c>
      <c r="B807" s="179"/>
      <c r="C807" s="179"/>
      <c r="D807" s="18" t="s">
        <v>1125</v>
      </c>
      <c r="E807" s="26"/>
      <c r="F807" s="26"/>
      <c r="G807" s="26">
        <v>0.1</v>
      </c>
      <c r="H807" s="26"/>
    </row>
    <row r="808" spans="1:8" ht="15.75" customHeight="1" x14ac:dyDescent="0.25">
      <c r="A808" s="32">
        <v>804</v>
      </c>
      <c r="B808" s="179"/>
      <c r="C808" s="179"/>
      <c r="D808" s="18" t="s">
        <v>1126</v>
      </c>
      <c r="E808" s="26"/>
      <c r="F808" s="26"/>
      <c r="G808" s="26">
        <v>0.3</v>
      </c>
      <c r="H808" s="26"/>
    </row>
    <row r="809" spans="1:8" ht="15.75" customHeight="1" x14ac:dyDescent="0.25">
      <c r="A809" s="32">
        <v>805</v>
      </c>
      <c r="B809" s="179"/>
      <c r="C809" s="179"/>
      <c r="D809" s="18" t="s">
        <v>812</v>
      </c>
      <c r="E809" s="26"/>
      <c r="F809" s="26"/>
      <c r="G809" s="26">
        <v>0.2</v>
      </c>
      <c r="H809" s="26"/>
    </row>
    <row r="810" spans="1:8" ht="15.75" customHeight="1" x14ac:dyDescent="0.25">
      <c r="A810" s="32">
        <v>806</v>
      </c>
      <c r="B810" s="179"/>
      <c r="C810" s="179"/>
      <c r="D810" s="18" t="s">
        <v>383</v>
      </c>
      <c r="E810" s="26"/>
      <c r="F810" s="26"/>
      <c r="G810" s="26">
        <v>0.1</v>
      </c>
      <c r="H810" s="26"/>
    </row>
    <row r="811" spans="1:8" ht="15.75" customHeight="1" x14ac:dyDescent="0.25">
      <c r="A811" s="32">
        <v>807</v>
      </c>
      <c r="B811" s="179"/>
      <c r="C811" s="179"/>
      <c r="D811" s="18" t="s">
        <v>1127</v>
      </c>
      <c r="E811" s="26"/>
      <c r="F811" s="26"/>
      <c r="G811" s="26">
        <v>0.3</v>
      </c>
      <c r="H811" s="26"/>
    </row>
    <row r="812" spans="1:8" ht="15.75" customHeight="1" x14ac:dyDescent="0.25">
      <c r="A812" s="32">
        <v>808</v>
      </c>
      <c r="B812" s="179"/>
      <c r="C812" s="179"/>
      <c r="D812" s="18" t="s">
        <v>1128</v>
      </c>
      <c r="E812" s="26"/>
      <c r="F812" s="26"/>
      <c r="G812" s="26">
        <v>0.2</v>
      </c>
      <c r="H812" s="26"/>
    </row>
    <row r="813" spans="1:8" ht="15.75" customHeight="1" x14ac:dyDescent="0.25">
      <c r="A813" s="32">
        <v>809</v>
      </c>
      <c r="B813" s="179"/>
      <c r="C813" s="179"/>
      <c r="D813" s="18" t="s">
        <v>1129</v>
      </c>
      <c r="E813" s="26"/>
      <c r="F813" s="26"/>
      <c r="G813" s="26">
        <v>0.1</v>
      </c>
      <c r="H813" s="26"/>
    </row>
    <row r="814" spans="1:8" ht="15.75" customHeight="1" x14ac:dyDescent="0.25">
      <c r="A814" s="32">
        <v>810</v>
      </c>
      <c r="B814" s="179"/>
      <c r="C814" s="179"/>
      <c r="D814" s="18" t="s">
        <v>1130</v>
      </c>
      <c r="E814" s="26"/>
      <c r="F814" s="26"/>
      <c r="G814" s="26">
        <v>0.1</v>
      </c>
      <c r="H814" s="26"/>
    </row>
    <row r="815" spans="1:8" ht="15.75" customHeight="1" x14ac:dyDescent="0.25">
      <c r="A815" s="32">
        <v>811</v>
      </c>
      <c r="B815" s="179"/>
      <c r="C815" s="179"/>
      <c r="D815" s="18" t="s">
        <v>496</v>
      </c>
      <c r="E815" s="26"/>
      <c r="F815" s="26"/>
      <c r="G815" s="26">
        <v>0.2</v>
      </c>
      <c r="H815" s="26"/>
    </row>
    <row r="816" spans="1:8" ht="15.75" customHeight="1" x14ac:dyDescent="0.25">
      <c r="A816" s="32">
        <v>812</v>
      </c>
      <c r="B816" s="179"/>
      <c r="C816" s="179"/>
      <c r="D816" s="18" t="s">
        <v>1131</v>
      </c>
      <c r="E816" s="26"/>
      <c r="F816" s="26"/>
      <c r="G816" s="26">
        <v>0.2</v>
      </c>
      <c r="H816" s="26"/>
    </row>
    <row r="817" spans="1:8" ht="15.75" customHeight="1" x14ac:dyDescent="0.25">
      <c r="A817" s="32">
        <v>813</v>
      </c>
      <c r="B817" s="179"/>
      <c r="C817" s="180"/>
      <c r="D817" s="18" t="s">
        <v>918</v>
      </c>
      <c r="E817" s="26"/>
      <c r="F817" s="26"/>
      <c r="G817" s="26">
        <v>0.2</v>
      </c>
      <c r="H817" s="26"/>
    </row>
    <row r="818" spans="1:8" ht="15.75" customHeight="1" x14ac:dyDescent="0.25">
      <c r="A818" s="32">
        <v>814</v>
      </c>
      <c r="B818" s="179"/>
      <c r="C818" s="178" t="s">
        <v>1132</v>
      </c>
      <c r="D818" s="18" t="s">
        <v>421</v>
      </c>
      <c r="E818" s="26"/>
      <c r="F818" s="26"/>
      <c r="G818" s="26">
        <v>0.3</v>
      </c>
      <c r="H818" s="26"/>
    </row>
    <row r="819" spans="1:8" ht="15.75" customHeight="1" x14ac:dyDescent="0.25">
      <c r="A819" s="32">
        <v>815</v>
      </c>
      <c r="B819" s="179"/>
      <c r="C819" s="179"/>
      <c r="D819" s="18" t="s">
        <v>421</v>
      </c>
      <c r="E819" s="26"/>
      <c r="F819" s="26"/>
      <c r="G819" s="26">
        <v>0.2</v>
      </c>
      <c r="H819" s="26"/>
    </row>
    <row r="820" spans="1:8" ht="15.75" customHeight="1" x14ac:dyDescent="0.25">
      <c r="A820" s="32">
        <v>816</v>
      </c>
      <c r="B820" s="179"/>
      <c r="C820" s="179"/>
      <c r="D820" s="18" t="s">
        <v>1133</v>
      </c>
      <c r="E820" s="26"/>
      <c r="F820" s="26"/>
      <c r="G820" s="26">
        <v>0.3</v>
      </c>
      <c r="H820" s="26"/>
    </row>
    <row r="821" spans="1:8" ht="15.75" customHeight="1" x14ac:dyDescent="0.25">
      <c r="A821" s="32">
        <v>817</v>
      </c>
      <c r="B821" s="179"/>
      <c r="C821" s="179"/>
      <c r="D821" s="18" t="s">
        <v>1134</v>
      </c>
      <c r="E821" s="26"/>
      <c r="F821" s="26"/>
      <c r="G821" s="26">
        <v>0.2</v>
      </c>
      <c r="H821" s="26"/>
    </row>
    <row r="822" spans="1:8" ht="15.75" customHeight="1" x14ac:dyDescent="0.25">
      <c r="A822" s="32">
        <v>818</v>
      </c>
      <c r="B822" s="179"/>
      <c r="C822" s="179"/>
      <c r="D822" s="18" t="s">
        <v>1135</v>
      </c>
      <c r="E822" s="26"/>
      <c r="F822" s="26"/>
      <c r="G822" s="26">
        <v>0.3</v>
      </c>
      <c r="H822" s="26"/>
    </row>
    <row r="823" spans="1:8" ht="15.75" customHeight="1" x14ac:dyDescent="0.25">
      <c r="A823" s="32">
        <v>819</v>
      </c>
      <c r="B823" s="179"/>
      <c r="C823" s="179"/>
      <c r="D823" s="18" t="s">
        <v>1136</v>
      </c>
      <c r="E823" s="26"/>
      <c r="F823" s="26"/>
      <c r="G823" s="26">
        <v>0.3</v>
      </c>
      <c r="H823" s="26"/>
    </row>
    <row r="824" spans="1:8" ht="15.75" customHeight="1" x14ac:dyDescent="0.25">
      <c r="A824" s="32">
        <v>820</v>
      </c>
      <c r="B824" s="179"/>
      <c r="C824" s="179"/>
      <c r="D824" s="18" t="s">
        <v>550</v>
      </c>
      <c r="E824" s="26"/>
      <c r="F824" s="26"/>
      <c r="G824" s="26">
        <v>0.2</v>
      </c>
      <c r="H824" s="26"/>
    </row>
    <row r="825" spans="1:8" ht="15.75" customHeight="1" x14ac:dyDescent="0.25">
      <c r="A825" s="32">
        <v>821</v>
      </c>
      <c r="B825" s="179"/>
      <c r="C825" s="179"/>
      <c r="D825" s="18" t="s">
        <v>1137</v>
      </c>
      <c r="E825" s="26"/>
      <c r="F825" s="26"/>
      <c r="G825" s="26">
        <v>0.2</v>
      </c>
      <c r="H825" s="26"/>
    </row>
    <row r="826" spans="1:8" ht="15.75" customHeight="1" x14ac:dyDescent="0.25">
      <c r="A826" s="32">
        <v>822</v>
      </c>
      <c r="B826" s="179"/>
      <c r="C826" s="179"/>
      <c r="D826" s="18" t="s">
        <v>1138</v>
      </c>
      <c r="E826" s="26"/>
      <c r="F826" s="26"/>
      <c r="G826" s="26">
        <v>0.3</v>
      </c>
      <c r="H826" s="26"/>
    </row>
    <row r="827" spans="1:8" ht="15.75" customHeight="1" x14ac:dyDescent="0.25">
      <c r="A827" s="32">
        <v>823</v>
      </c>
      <c r="B827" s="179"/>
      <c r="C827" s="179"/>
      <c r="D827" s="18" t="s">
        <v>1139</v>
      </c>
      <c r="E827" s="26"/>
      <c r="F827" s="26"/>
      <c r="G827" s="26">
        <v>0.2</v>
      </c>
      <c r="H827" s="26"/>
    </row>
    <row r="828" spans="1:8" ht="15.75" customHeight="1" x14ac:dyDescent="0.25">
      <c r="A828" s="32">
        <v>824</v>
      </c>
      <c r="B828" s="179"/>
      <c r="C828" s="179"/>
      <c r="D828" s="18" t="s">
        <v>1140</v>
      </c>
      <c r="E828" s="26"/>
      <c r="F828" s="26"/>
      <c r="G828" s="26">
        <v>0.3</v>
      </c>
      <c r="H828" s="26"/>
    </row>
    <row r="829" spans="1:8" ht="15.75" customHeight="1" x14ac:dyDescent="0.25">
      <c r="A829" s="32">
        <v>825</v>
      </c>
      <c r="B829" s="179"/>
      <c r="C829" s="180"/>
      <c r="D829" s="18" t="s">
        <v>1141</v>
      </c>
      <c r="E829" s="26"/>
      <c r="F829" s="26"/>
      <c r="G829" s="26">
        <v>0.2</v>
      </c>
      <c r="H829" s="26"/>
    </row>
    <row r="830" spans="1:8" ht="15.75" customHeight="1" x14ac:dyDescent="0.25">
      <c r="A830" s="32">
        <v>826</v>
      </c>
      <c r="B830" s="179"/>
      <c r="C830" s="178" t="s">
        <v>1142</v>
      </c>
      <c r="D830" s="18" t="s">
        <v>1143</v>
      </c>
      <c r="E830" s="26"/>
      <c r="F830" s="26"/>
      <c r="G830" s="26">
        <v>1</v>
      </c>
      <c r="H830" s="26"/>
    </row>
    <row r="831" spans="1:8" ht="15.75" customHeight="1" x14ac:dyDescent="0.25">
      <c r="A831" s="32">
        <v>827</v>
      </c>
      <c r="B831" s="179"/>
      <c r="C831" s="179"/>
      <c r="D831" s="18" t="s">
        <v>1144</v>
      </c>
      <c r="E831" s="26"/>
      <c r="F831" s="26"/>
      <c r="G831" s="26">
        <v>1.5</v>
      </c>
      <c r="H831" s="26"/>
    </row>
    <row r="832" spans="1:8" ht="15.75" customHeight="1" x14ac:dyDescent="0.25">
      <c r="A832" s="32">
        <v>828</v>
      </c>
      <c r="B832" s="179"/>
      <c r="C832" s="179"/>
      <c r="D832" s="18" t="s">
        <v>1145</v>
      </c>
      <c r="E832" s="26"/>
      <c r="F832" s="26"/>
      <c r="G832" s="26">
        <v>1</v>
      </c>
      <c r="H832" s="26"/>
    </row>
    <row r="833" spans="1:8" ht="15.75" customHeight="1" x14ac:dyDescent="0.25">
      <c r="A833" s="32">
        <v>829</v>
      </c>
      <c r="B833" s="179"/>
      <c r="C833" s="179"/>
      <c r="D833" s="18" t="s">
        <v>1146</v>
      </c>
      <c r="E833" s="26"/>
      <c r="F833" s="26"/>
      <c r="G833" s="26">
        <v>1</v>
      </c>
      <c r="H833" s="26"/>
    </row>
    <row r="834" spans="1:8" ht="15.75" customHeight="1" x14ac:dyDescent="0.25">
      <c r="A834" s="32">
        <v>830</v>
      </c>
      <c r="B834" s="179"/>
      <c r="C834" s="179"/>
      <c r="D834" s="18" t="s">
        <v>1147</v>
      </c>
      <c r="E834" s="26"/>
      <c r="F834" s="26"/>
      <c r="G834" s="26">
        <v>1.5</v>
      </c>
      <c r="H834" s="26"/>
    </row>
    <row r="835" spans="1:8" ht="15.75" customHeight="1" x14ac:dyDescent="0.25">
      <c r="A835" s="32">
        <v>831</v>
      </c>
      <c r="B835" s="179"/>
      <c r="C835" s="179"/>
      <c r="D835" s="18" t="s">
        <v>1148</v>
      </c>
      <c r="E835" s="26"/>
      <c r="F835" s="26"/>
      <c r="G835" s="26">
        <v>1</v>
      </c>
      <c r="H835" s="26"/>
    </row>
    <row r="836" spans="1:8" ht="15.75" customHeight="1" x14ac:dyDescent="0.25">
      <c r="A836" s="32">
        <v>832</v>
      </c>
      <c r="B836" s="179"/>
      <c r="C836" s="179"/>
      <c r="D836" s="18" t="s">
        <v>1149</v>
      </c>
      <c r="E836" s="26"/>
      <c r="F836" s="26"/>
      <c r="G836" s="26">
        <v>1.5</v>
      </c>
      <c r="H836" s="26"/>
    </row>
    <row r="837" spans="1:8" ht="15.75" customHeight="1" x14ac:dyDescent="0.25">
      <c r="A837" s="32">
        <v>833</v>
      </c>
      <c r="B837" s="179"/>
      <c r="C837" s="179"/>
      <c r="D837" s="18" t="s">
        <v>1150</v>
      </c>
      <c r="E837" s="26"/>
      <c r="F837" s="26"/>
      <c r="G837" s="26">
        <v>1</v>
      </c>
      <c r="H837" s="26"/>
    </row>
    <row r="838" spans="1:8" ht="15.75" customHeight="1" x14ac:dyDescent="0.25">
      <c r="A838" s="32">
        <v>834</v>
      </c>
      <c r="B838" s="179"/>
      <c r="C838" s="179"/>
      <c r="D838" s="18" t="s">
        <v>1151</v>
      </c>
      <c r="E838" s="26"/>
      <c r="F838" s="26"/>
      <c r="G838" s="26">
        <v>1.5</v>
      </c>
      <c r="H838" s="26"/>
    </row>
    <row r="839" spans="1:8" ht="15.75" customHeight="1" x14ac:dyDescent="0.25">
      <c r="A839" s="32">
        <v>835</v>
      </c>
      <c r="B839" s="179"/>
      <c r="C839" s="179"/>
      <c r="D839" s="18" t="s">
        <v>1109</v>
      </c>
      <c r="E839" s="26"/>
      <c r="F839" s="26"/>
      <c r="G839" s="26">
        <v>1.5</v>
      </c>
      <c r="H839" s="26"/>
    </row>
    <row r="840" spans="1:8" ht="15.75" customHeight="1" x14ac:dyDescent="0.25">
      <c r="A840" s="32">
        <v>836</v>
      </c>
      <c r="B840" s="179"/>
      <c r="C840" s="180"/>
      <c r="D840" s="18" t="s">
        <v>1152</v>
      </c>
      <c r="E840" s="26"/>
      <c r="F840" s="26"/>
      <c r="G840" s="26">
        <v>1.5</v>
      </c>
      <c r="H840" s="26"/>
    </row>
    <row r="841" spans="1:8" ht="15.75" customHeight="1" x14ac:dyDescent="0.25">
      <c r="A841" s="32">
        <v>837</v>
      </c>
      <c r="B841" s="179"/>
      <c r="C841" s="178" t="s">
        <v>1153</v>
      </c>
      <c r="D841" s="18" t="s">
        <v>576</v>
      </c>
      <c r="E841" s="26"/>
      <c r="F841" s="26"/>
      <c r="G841" s="26">
        <v>0.5</v>
      </c>
      <c r="H841" s="26"/>
    </row>
    <row r="842" spans="1:8" ht="15.75" customHeight="1" x14ac:dyDescent="0.25">
      <c r="A842" s="32">
        <v>838</v>
      </c>
      <c r="B842" s="179"/>
      <c r="C842" s="179"/>
      <c r="D842" s="18" t="s">
        <v>507</v>
      </c>
      <c r="E842" s="26"/>
      <c r="F842" s="26"/>
      <c r="G842" s="26">
        <v>0.5</v>
      </c>
      <c r="H842" s="26"/>
    </row>
    <row r="843" spans="1:8" ht="15.75" customHeight="1" x14ac:dyDescent="0.25">
      <c r="A843" s="32">
        <v>839</v>
      </c>
      <c r="B843" s="179"/>
      <c r="C843" s="179"/>
      <c r="D843" s="18" t="s">
        <v>1154</v>
      </c>
      <c r="E843" s="26"/>
      <c r="F843" s="26"/>
      <c r="G843" s="26">
        <v>0.5</v>
      </c>
      <c r="H843" s="26"/>
    </row>
    <row r="844" spans="1:8" ht="15.75" customHeight="1" x14ac:dyDescent="0.25">
      <c r="A844" s="32">
        <v>840</v>
      </c>
      <c r="B844" s="179"/>
      <c r="C844" s="179"/>
      <c r="D844" s="18" t="s">
        <v>1155</v>
      </c>
      <c r="E844" s="26"/>
      <c r="F844" s="26"/>
      <c r="G844" s="26">
        <v>0.3</v>
      </c>
      <c r="H844" s="26"/>
    </row>
    <row r="845" spans="1:8" ht="15.75" customHeight="1" x14ac:dyDescent="0.25">
      <c r="A845" s="32">
        <v>841</v>
      </c>
      <c r="B845" s="179"/>
      <c r="C845" s="179"/>
      <c r="D845" s="18" t="s">
        <v>1156</v>
      </c>
      <c r="E845" s="26"/>
      <c r="F845" s="26"/>
      <c r="G845" s="26">
        <v>0.5</v>
      </c>
      <c r="H845" s="26"/>
    </row>
    <row r="846" spans="1:8" ht="15.75" customHeight="1" x14ac:dyDescent="0.25">
      <c r="A846" s="32">
        <v>842</v>
      </c>
      <c r="B846" s="179"/>
      <c r="C846" s="179"/>
      <c r="D846" s="18" t="s">
        <v>1157</v>
      </c>
      <c r="E846" s="26"/>
      <c r="F846" s="26"/>
      <c r="G846" s="26">
        <v>1</v>
      </c>
      <c r="H846" s="26"/>
    </row>
    <row r="847" spans="1:8" ht="15.75" customHeight="1" x14ac:dyDescent="0.25">
      <c r="A847" s="32">
        <v>843</v>
      </c>
      <c r="B847" s="179"/>
      <c r="C847" s="179"/>
      <c r="D847" s="18" t="s">
        <v>1158</v>
      </c>
      <c r="E847" s="26"/>
      <c r="F847" s="26"/>
      <c r="G847" s="26">
        <v>0.5</v>
      </c>
      <c r="H847" s="26"/>
    </row>
    <row r="848" spans="1:8" ht="15.75" customHeight="1" x14ac:dyDescent="0.25">
      <c r="A848" s="32">
        <v>844</v>
      </c>
      <c r="B848" s="179"/>
      <c r="C848" s="179"/>
      <c r="D848" s="18" t="s">
        <v>1159</v>
      </c>
      <c r="E848" s="26"/>
      <c r="F848" s="26"/>
      <c r="G848" s="26">
        <v>0.5</v>
      </c>
      <c r="H848" s="26"/>
    </row>
    <row r="849" spans="1:8" ht="15.75" customHeight="1" x14ac:dyDescent="0.25">
      <c r="A849" s="32">
        <v>845</v>
      </c>
      <c r="B849" s="179"/>
      <c r="C849" s="179"/>
      <c r="D849" s="18" t="s">
        <v>1160</v>
      </c>
      <c r="E849" s="26"/>
      <c r="F849" s="26"/>
      <c r="G849" s="26">
        <v>0.5</v>
      </c>
      <c r="H849" s="26"/>
    </row>
    <row r="850" spans="1:8" ht="15.75" customHeight="1" x14ac:dyDescent="0.25">
      <c r="A850" s="32">
        <v>846</v>
      </c>
      <c r="B850" s="180"/>
      <c r="C850" s="180"/>
      <c r="D850" s="18" t="s">
        <v>1161</v>
      </c>
      <c r="E850" s="26"/>
      <c r="F850" s="26"/>
      <c r="G850" s="26">
        <v>0.5</v>
      </c>
      <c r="H850" s="26"/>
    </row>
    <row r="851" spans="1:8" ht="15.75" customHeight="1" x14ac:dyDescent="0.25">
      <c r="A851" s="32">
        <v>847</v>
      </c>
      <c r="B851" s="178" t="s">
        <v>79</v>
      </c>
      <c r="C851" s="178" t="s">
        <v>1162</v>
      </c>
      <c r="D851" s="18" t="s">
        <v>1163</v>
      </c>
      <c r="E851" s="26"/>
      <c r="F851" s="26"/>
      <c r="G851" s="26">
        <v>0.25</v>
      </c>
      <c r="H851" s="26"/>
    </row>
    <row r="852" spans="1:8" ht="15.75" customHeight="1" x14ac:dyDescent="0.25">
      <c r="A852" s="32">
        <v>848</v>
      </c>
      <c r="B852" s="179"/>
      <c r="C852" s="179"/>
      <c r="D852" s="18" t="s">
        <v>1164</v>
      </c>
      <c r="E852" s="26"/>
      <c r="F852" s="26"/>
      <c r="G852" s="26">
        <v>0.25</v>
      </c>
      <c r="H852" s="26"/>
    </row>
    <row r="853" spans="1:8" ht="15.75" customHeight="1" x14ac:dyDescent="0.25">
      <c r="A853" s="32">
        <v>849</v>
      </c>
      <c r="B853" s="179"/>
      <c r="C853" s="179"/>
      <c r="D853" s="18" t="s">
        <v>1165</v>
      </c>
      <c r="E853" s="26"/>
      <c r="F853" s="26"/>
      <c r="G853" s="26">
        <v>0.5</v>
      </c>
      <c r="H853" s="26"/>
    </row>
    <row r="854" spans="1:8" ht="15.75" customHeight="1" x14ac:dyDescent="0.25">
      <c r="A854" s="32">
        <v>850</v>
      </c>
      <c r="B854" s="179"/>
      <c r="C854" s="179"/>
      <c r="D854" s="18" t="s">
        <v>1166</v>
      </c>
      <c r="E854" s="26"/>
      <c r="F854" s="26"/>
      <c r="G854" s="26">
        <v>0.5</v>
      </c>
      <c r="H854" s="26"/>
    </row>
    <row r="855" spans="1:8" ht="15.75" customHeight="1" x14ac:dyDescent="0.25">
      <c r="A855" s="32">
        <v>851</v>
      </c>
      <c r="B855" s="179"/>
      <c r="C855" s="179"/>
      <c r="D855" s="18" t="s">
        <v>1167</v>
      </c>
      <c r="E855" s="26"/>
      <c r="F855" s="26"/>
      <c r="G855" s="26">
        <v>0.5</v>
      </c>
      <c r="H855" s="26"/>
    </row>
    <row r="856" spans="1:8" ht="15.75" customHeight="1" x14ac:dyDescent="0.25">
      <c r="A856" s="32">
        <v>852</v>
      </c>
      <c r="B856" s="179"/>
      <c r="C856" s="179"/>
      <c r="D856" s="18" t="s">
        <v>1168</v>
      </c>
      <c r="E856" s="26"/>
      <c r="F856" s="26"/>
      <c r="G856" s="26">
        <v>2</v>
      </c>
      <c r="H856" s="26"/>
    </row>
    <row r="857" spans="1:8" ht="15.75" customHeight="1" x14ac:dyDescent="0.25">
      <c r="A857" s="32">
        <v>853</v>
      </c>
      <c r="B857" s="179"/>
      <c r="C857" s="179"/>
      <c r="D857" s="18" t="s">
        <v>1169</v>
      </c>
      <c r="E857" s="26"/>
      <c r="F857" s="26"/>
      <c r="G857" s="26">
        <v>0.25</v>
      </c>
      <c r="H857" s="26"/>
    </row>
    <row r="858" spans="1:8" ht="15.75" customHeight="1" x14ac:dyDescent="0.25">
      <c r="A858" s="32">
        <v>854</v>
      </c>
      <c r="B858" s="179"/>
      <c r="C858" s="179"/>
      <c r="D858" s="18" t="s">
        <v>1170</v>
      </c>
      <c r="E858" s="26"/>
      <c r="F858" s="26"/>
      <c r="G858" s="26">
        <v>1</v>
      </c>
      <c r="H858" s="26"/>
    </row>
    <row r="859" spans="1:8" ht="15.75" customHeight="1" x14ac:dyDescent="0.25">
      <c r="A859" s="32">
        <v>855</v>
      </c>
      <c r="B859" s="179"/>
      <c r="C859" s="179"/>
      <c r="D859" s="18" t="s">
        <v>1171</v>
      </c>
      <c r="E859" s="26"/>
      <c r="F859" s="26"/>
      <c r="G859" s="26">
        <v>1.5</v>
      </c>
      <c r="H859" s="26"/>
    </row>
    <row r="860" spans="1:8" ht="15.75" customHeight="1" x14ac:dyDescent="0.25">
      <c r="A860" s="32">
        <v>856</v>
      </c>
      <c r="B860" s="179"/>
      <c r="C860" s="180"/>
      <c r="D860" s="18" t="s">
        <v>1172</v>
      </c>
      <c r="E860" s="26"/>
      <c r="F860" s="26"/>
      <c r="G860" s="26">
        <v>1</v>
      </c>
      <c r="H860" s="26"/>
    </row>
    <row r="861" spans="1:8" ht="15.75" customHeight="1" x14ac:dyDescent="0.25">
      <c r="A861" s="32">
        <v>857</v>
      </c>
      <c r="B861" s="179"/>
      <c r="C861" s="178" t="s">
        <v>1173</v>
      </c>
      <c r="D861" s="18" t="s">
        <v>1174</v>
      </c>
      <c r="E861" s="26"/>
      <c r="F861" s="26"/>
      <c r="G861" s="26">
        <v>1.5</v>
      </c>
      <c r="H861" s="26"/>
    </row>
    <row r="862" spans="1:8" ht="15.75" customHeight="1" x14ac:dyDescent="0.25">
      <c r="A862" s="32">
        <v>858</v>
      </c>
      <c r="B862" s="179"/>
      <c r="C862" s="179"/>
      <c r="D862" s="18" t="s">
        <v>1175</v>
      </c>
      <c r="E862" s="26"/>
      <c r="F862" s="26"/>
      <c r="G862" s="26">
        <v>1.5</v>
      </c>
      <c r="H862" s="26"/>
    </row>
    <row r="863" spans="1:8" ht="15.75" customHeight="1" x14ac:dyDescent="0.25">
      <c r="A863" s="32">
        <v>859</v>
      </c>
      <c r="B863" s="179"/>
      <c r="C863" s="179"/>
      <c r="D863" s="18" t="s">
        <v>1176</v>
      </c>
      <c r="E863" s="26"/>
      <c r="F863" s="26"/>
      <c r="G863" s="26">
        <v>1.5</v>
      </c>
      <c r="H863" s="26"/>
    </row>
    <row r="864" spans="1:8" ht="15.75" customHeight="1" x14ac:dyDescent="0.25">
      <c r="A864" s="32">
        <v>860</v>
      </c>
      <c r="B864" s="179"/>
      <c r="C864" s="179"/>
      <c r="D864" s="18" t="s">
        <v>1177</v>
      </c>
      <c r="E864" s="26"/>
      <c r="F864" s="26"/>
      <c r="G864" s="26">
        <v>1</v>
      </c>
      <c r="H864" s="26"/>
    </row>
    <row r="865" spans="1:8" ht="15.75" customHeight="1" x14ac:dyDescent="0.25">
      <c r="A865" s="32">
        <v>861</v>
      </c>
      <c r="B865" s="179"/>
      <c r="C865" s="179"/>
      <c r="D865" s="18" t="s">
        <v>1178</v>
      </c>
      <c r="E865" s="26"/>
      <c r="F865" s="26"/>
      <c r="G865" s="26">
        <v>1.25</v>
      </c>
      <c r="H865" s="26"/>
    </row>
    <row r="866" spans="1:8" ht="15.75" customHeight="1" x14ac:dyDescent="0.25">
      <c r="A866" s="32">
        <v>862</v>
      </c>
      <c r="B866" s="179"/>
      <c r="C866" s="179"/>
      <c r="D866" s="18" t="s">
        <v>1179</v>
      </c>
      <c r="E866" s="26"/>
      <c r="F866" s="26"/>
      <c r="G866" s="26">
        <v>1</v>
      </c>
      <c r="H866" s="26"/>
    </row>
    <row r="867" spans="1:8" ht="15.75" customHeight="1" x14ac:dyDescent="0.25">
      <c r="A867" s="32">
        <v>863</v>
      </c>
      <c r="B867" s="179"/>
      <c r="C867" s="179"/>
      <c r="D867" s="18" t="s">
        <v>1180</v>
      </c>
      <c r="E867" s="26"/>
      <c r="F867" s="26"/>
      <c r="G867" s="26">
        <v>1</v>
      </c>
      <c r="H867" s="26"/>
    </row>
    <row r="868" spans="1:8" ht="15.75" customHeight="1" x14ac:dyDescent="0.25">
      <c r="A868" s="32">
        <v>864</v>
      </c>
      <c r="B868" s="179"/>
      <c r="C868" s="179"/>
      <c r="D868" s="18" t="s">
        <v>531</v>
      </c>
      <c r="E868" s="26"/>
      <c r="F868" s="26"/>
      <c r="G868" s="26">
        <v>1.25</v>
      </c>
      <c r="H868" s="26"/>
    </row>
    <row r="869" spans="1:8" ht="15.75" customHeight="1" x14ac:dyDescent="0.25">
      <c r="A869" s="32">
        <v>865</v>
      </c>
      <c r="B869" s="179"/>
      <c r="C869" s="179"/>
      <c r="D869" s="18" t="s">
        <v>1181</v>
      </c>
      <c r="E869" s="26"/>
      <c r="F869" s="26"/>
      <c r="G869" s="26">
        <v>1.5</v>
      </c>
      <c r="H869" s="26"/>
    </row>
    <row r="870" spans="1:8" ht="15.75" customHeight="1" x14ac:dyDescent="0.25">
      <c r="A870" s="32">
        <v>866</v>
      </c>
      <c r="B870" s="179"/>
      <c r="C870" s="179"/>
      <c r="D870" s="18" t="s">
        <v>1182</v>
      </c>
      <c r="E870" s="26"/>
      <c r="F870" s="26"/>
      <c r="G870" s="26">
        <v>1</v>
      </c>
      <c r="H870" s="26"/>
    </row>
    <row r="871" spans="1:8" ht="15.75" customHeight="1" x14ac:dyDescent="0.25">
      <c r="A871" s="32">
        <v>867</v>
      </c>
      <c r="B871" s="179"/>
      <c r="C871" s="179"/>
      <c r="D871" s="18" t="s">
        <v>1183</v>
      </c>
      <c r="E871" s="26"/>
      <c r="F871" s="26"/>
      <c r="G871" s="26">
        <v>1.5</v>
      </c>
      <c r="H871" s="26"/>
    </row>
    <row r="872" spans="1:8" ht="15.75" customHeight="1" x14ac:dyDescent="0.25">
      <c r="A872" s="32">
        <v>868</v>
      </c>
      <c r="B872" s="180"/>
      <c r="C872" s="180"/>
      <c r="D872" s="18" t="s">
        <v>1184</v>
      </c>
      <c r="E872" s="26"/>
      <c r="F872" s="26"/>
      <c r="G872" s="26">
        <v>1</v>
      </c>
      <c r="H872" s="26"/>
    </row>
    <row r="873" spans="1:8" ht="15.75" customHeight="1" x14ac:dyDescent="0.25">
      <c r="A873" s="32">
        <v>869</v>
      </c>
      <c r="B873" s="178" t="s">
        <v>77</v>
      </c>
      <c r="C873" s="178" t="s">
        <v>1185</v>
      </c>
      <c r="D873" s="18" t="s">
        <v>1186</v>
      </c>
      <c r="E873" s="26"/>
      <c r="F873" s="26"/>
      <c r="G873" s="26">
        <v>0.5</v>
      </c>
      <c r="H873" s="26"/>
    </row>
    <row r="874" spans="1:8" ht="15.75" customHeight="1" x14ac:dyDescent="0.25">
      <c r="A874" s="32">
        <v>870</v>
      </c>
      <c r="B874" s="179"/>
      <c r="C874" s="179"/>
      <c r="D874" s="18" t="s">
        <v>1187</v>
      </c>
      <c r="E874" s="26"/>
      <c r="F874" s="26"/>
      <c r="G874" s="26">
        <v>0.75</v>
      </c>
      <c r="H874" s="26"/>
    </row>
    <row r="875" spans="1:8" ht="15.75" customHeight="1" x14ac:dyDescent="0.25">
      <c r="A875" s="32">
        <v>871</v>
      </c>
      <c r="B875" s="179"/>
      <c r="C875" s="179"/>
      <c r="D875" s="18" t="s">
        <v>1188</v>
      </c>
      <c r="E875" s="26"/>
      <c r="F875" s="26"/>
      <c r="G875" s="26">
        <v>1.5</v>
      </c>
      <c r="H875" s="26"/>
    </row>
    <row r="876" spans="1:8" ht="15.75" customHeight="1" x14ac:dyDescent="0.25">
      <c r="A876" s="32">
        <v>872</v>
      </c>
      <c r="B876" s="179"/>
      <c r="C876" s="179"/>
      <c r="D876" s="18" t="s">
        <v>1189</v>
      </c>
      <c r="E876" s="26"/>
      <c r="F876" s="26"/>
      <c r="G876" s="26"/>
      <c r="H876" s="26"/>
    </row>
    <row r="877" spans="1:8" ht="15.75" customHeight="1" x14ac:dyDescent="0.25">
      <c r="A877" s="32">
        <v>873</v>
      </c>
      <c r="B877" s="179"/>
      <c r="C877" s="179"/>
      <c r="D877" s="18" t="s">
        <v>1190</v>
      </c>
      <c r="E877" s="26"/>
      <c r="F877" s="26"/>
      <c r="G877" s="26">
        <v>0.5</v>
      </c>
      <c r="H877" s="26"/>
    </row>
    <row r="878" spans="1:8" ht="15.75" customHeight="1" x14ac:dyDescent="0.25">
      <c r="A878" s="32">
        <v>874</v>
      </c>
      <c r="B878" s="179"/>
      <c r="C878" s="179"/>
      <c r="D878" s="18" t="s">
        <v>1191</v>
      </c>
      <c r="E878" s="26"/>
      <c r="F878" s="26"/>
      <c r="G878" s="26">
        <v>0.65</v>
      </c>
      <c r="H878" s="26"/>
    </row>
    <row r="879" spans="1:8" ht="15.75" customHeight="1" x14ac:dyDescent="0.25">
      <c r="A879" s="32">
        <v>875</v>
      </c>
      <c r="B879" s="179"/>
      <c r="C879" s="179"/>
      <c r="D879" s="18" t="s">
        <v>1192</v>
      </c>
      <c r="E879" s="26"/>
      <c r="F879" s="26"/>
      <c r="G879" s="26">
        <v>1</v>
      </c>
      <c r="H879" s="26"/>
    </row>
    <row r="880" spans="1:8" ht="15.75" customHeight="1" x14ac:dyDescent="0.25">
      <c r="A880" s="32">
        <v>876</v>
      </c>
      <c r="B880" s="179"/>
      <c r="C880" s="179"/>
      <c r="D880" s="18" t="s">
        <v>1193</v>
      </c>
      <c r="E880" s="26"/>
      <c r="F880" s="26"/>
      <c r="G880" s="26">
        <v>0.2</v>
      </c>
      <c r="H880" s="26"/>
    </row>
    <row r="881" spans="1:8" ht="15.75" customHeight="1" x14ac:dyDescent="0.25">
      <c r="A881" s="32">
        <v>877</v>
      </c>
      <c r="B881" s="179"/>
      <c r="C881" s="179"/>
      <c r="D881" s="18" t="s">
        <v>1194</v>
      </c>
      <c r="E881" s="26"/>
      <c r="F881" s="26"/>
      <c r="G881" s="26">
        <v>1</v>
      </c>
      <c r="H881" s="26"/>
    </row>
    <row r="882" spans="1:8" ht="15.75" customHeight="1" x14ac:dyDescent="0.25">
      <c r="A882" s="32">
        <v>878</v>
      </c>
      <c r="B882" s="179"/>
      <c r="C882" s="179"/>
      <c r="D882" s="18" t="s">
        <v>1194</v>
      </c>
      <c r="E882" s="26"/>
      <c r="F882" s="26"/>
      <c r="G882" s="26">
        <v>1</v>
      </c>
      <c r="H882" s="26"/>
    </row>
    <row r="883" spans="1:8" ht="15.75" customHeight="1" x14ac:dyDescent="0.25">
      <c r="A883" s="32">
        <v>879</v>
      </c>
      <c r="B883" s="179"/>
      <c r="C883" s="179"/>
      <c r="D883" s="18" t="s">
        <v>1194</v>
      </c>
      <c r="E883" s="26"/>
      <c r="F883" s="26"/>
      <c r="G883" s="26">
        <v>1</v>
      </c>
      <c r="H883" s="26"/>
    </row>
    <row r="884" spans="1:8" ht="15.75" customHeight="1" x14ac:dyDescent="0.25">
      <c r="A884" s="32">
        <v>880</v>
      </c>
      <c r="B884" s="179"/>
      <c r="C884" s="179"/>
      <c r="D884" s="18" t="s">
        <v>1195</v>
      </c>
      <c r="E884" s="26"/>
      <c r="F884" s="26"/>
      <c r="G884" s="26">
        <v>0.75</v>
      </c>
      <c r="H884" s="26"/>
    </row>
    <row r="885" spans="1:8" ht="15.75" customHeight="1" x14ac:dyDescent="0.25">
      <c r="A885" s="32">
        <v>881</v>
      </c>
      <c r="B885" s="179"/>
      <c r="C885" s="179"/>
      <c r="D885" s="18" t="s">
        <v>1196</v>
      </c>
      <c r="E885" s="26"/>
      <c r="F885" s="26"/>
      <c r="G885" s="26">
        <v>0.3</v>
      </c>
      <c r="H885" s="26"/>
    </row>
    <row r="886" spans="1:8" ht="15.75" customHeight="1" x14ac:dyDescent="0.25">
      <c r="A886" s="32">
        <v>882</v>
      </c>
      <c r="B886" s="179"/>
      <c r="C886" s="180"/>
      <c r="D886" s="18" t="s">
        <v>1197</v>
      </c>
      <c r="E886" s="26"/>
      <c r="F886" s="26"/>
      <c r="G886" s="26">
        <v>1.3</v>
      </c>
      <c r="H886" s="26"/>
    </row>
    <row r="887" spans="1:8" ht="15.75" customHeight="1" x14ac:dyDescent="0.25">
      <c r="A887" s="32">
        <v>883</v>
      </c>
      <c r="B887" s="179"/>
      <c r="C887" s="178" t="s">
        <v>1198</v>
      </c>
      <c r="D887" s="18" t="s">
        <v>1199</v>
      </c>
      <c r="E887" s="26"/>
      <c r="F887" s="26"/>
      <c r="G887" s="26"/>
      <c r="H887" s="26"/>
    </row>
    <row r="888" spans="1:8" ht="15.75" customHeight="1" x14ac:dyDescent="0.25">
      <c r="A888" s="32">
        <v>884</v>
      </c>
      <c r="B888" s="179"/>
      <c r="C888" s="179"/>
      <c r="D888" s="18" t="s">
        <v>1200</v>
      </c>
      <c r="E888" s="26"/>
      <c r="F888" s="26"/>
      <c r="G888" s="26"/>
      <c r="H888" s="26"/>
    </row>
    <row r="889" spans="1:8" ht="15.75" customHeight="1" x14ac:dyDescent="0.25">
      <c r="A889" s="32">
        <v>885</v>
      </c>
      <c r="B889" s="179"/>
      <c r="C889" s="179"/>
      <c r="D889" s="18" t="s">
        <v>1201</v>
      </c>
      <c r="E889" s="26"/>
      <c r="F889" s="26"/>
      <c r="G889" s="26"/>
      <c r="H889" s="26"/>
    </row>
    <row r="890" spans="1:8" ht="15.75" customHeight="1" x14ac:dyDescent="0.25">
      <c r="A890" s="32">
        <v>886</v>
      </c>
      <c r="B890" s="179"/>
      <c r="C890" s="179"/>
      <c r="D890" s="18" t="s">
        <v>1202</v>
      </c>
      <c r="E890" s="26"/>
      <c r="F890" s="26"/>
      <c r="G890" s="26"/>
      <c r="H890" s="26"/>
    </row>
    <row r="891" spans="1:8" ht="15.75" customHeight="1" x14ac:dyDescent="0.25">
      <c r="A891" s="32">
        <v>887</v>
      </c>
      <c r="B891" s="179"/>
      <c r="C891" s="179"/>
      <c r="D891" s="18" t="s">
        <v>1203</v>
      </c>
      <c r="E891" s="26"/>
      <c r="F891" s="26"/>
      <c r="G891" s="26"/>
      <c r="H891" s="26"/>
    </row>
    <row r="892" spans="1:8" ht="15.75" customHeight="1" x14ac:dyDescent="0.25">
      <c r="A892" s="32">
        <v>888</v>
      </c>
      <c r="B892" s="179"/>
      <c r="C892" s="179"/>
      <c r="D892" s="18" t="s">
        <v>1204</v>
      </c>
      <c r="E892" s="26"/>
      <c r="F892" s="26"/>
      <c r="G892" s="26"/>
      <c r="H892" s="26"/>
    </row>
    <row r="893" spans="1:8" ht="15.75" customHeight="1" x14ac:dyDescent="0.25">
      <c r="A893" s="32">
        <v>889</v>
      </c>
      <c r="B893" s="179"/>
      <c r="C893" s="179"/>
      <c r="D893" s="18" t="s">
        <v>452</v>
      </c>
      <c r="E893" s="26"/>
      <c r="F893" s="26"/>
      <c r="G893" s="26"/>
      <c r="H893" s="26"/>
    </row>
    <row r="894" spans="1:8" ht="15.75" customHeight="1" x14ac:dyDescent="0.25">
      <c r="A894" s="32">
        <v>890</v>
      </c>
      <c r="B894" s="179"/>
      <c r="C894" s="179"/>
      <c r="D894" s="18" t="s">
        <v>1205</v>
      </c>
      <c r="E894" s="26"/>
      <c r="F894" s="26"/>
      <c r="G894" s="26"/>
      <c r="H894" s="26"/>
    </row>
    <row r="895" spans="1:8" ht="15.75" customHeight="1" x14ac:dyDescent="0.25">
      <c r="A895" s="32">
        <v>891</v>
      </c>
      <c r="B895" s="179"/>
      <c r="C895" s="179"/>
      <c r="D895" s="18" t="s">
        <v>1206</v>
      </c>
      <c r="E895" s="26"/>
      <c r="F895" s="26"/>
      <c r="G895" s="26"/>
      <c r="H895" s="26"/>
    </row>
    <row r="896" spans="1:8" ht="15.75" customHeight="1" x14ac:dyDescent="0.25">
      <c r="A896" s="32">
        <v>892</v>
      </c>
      <c r="B896" s="179"/>
      <c r="C896" s="179"/>
      <c r="D896" s="18" t="s">
        <v>1207</v>
      </c>
      <c r="E896" s="26"/>
      <c r="F896" s="26"/>
      <c r="G896" s="26"/>
      <c r="H896" s="26"/>
    </row>
    <row r="897" spans="1:8" ht="15.75" customHeight="1" x14ac:dyDescent="0.25">
      <c r="A897" s="32">
        <v>893</v>
      </c>
      <c r="B897" s="179"/>
      <c r="C897" s="180"/>
      <c r="D897" s="18" t="s">
        <v>1208</v>
      </c>
      <c r="E897" s="26"/>
      <c r="F897" s="26"/>
      <c r="G897" s="26"/>
      <c r="H897" s="26"/>
    </row>
    <row r="898" spans="1:8" ht="15.75" customHeight="1" x14ac:dyDescent="0.25">
      <c r="A898" s="32">
        <v>894</v>
      </c>
      <c r="B898" s="179"/>
      <c r="C898" s="178" t="s">
        <v>1209</v>
      </c>
      <c r="D898" s="18" t="s">
        <v>1210</v>
      </c>
      <c r="E898" s="26"/>
      <c r="F898" s="26"/>
      <c r="G898" s="26">
        <v>0.5</v>
      </c>
      <c r="H898" s="26"/>
    </row>
    <row r="899" spans="1:8" ht="15.75" customHeight="1" x14ac:dyDescent="0.25">
      <c r="A899" s="32">
        <v>895</v>
      </c>
      <c r="B899" s="179"/>
      <c r="C899" s="179"/>
      <c r="D899" s="18" t="s">
        <v>1211</v>
      </c>
      <c r="E899" s="26"/>
      <c r="F899" s="26"/>
      <c r="G899" s="26"/>
      <c r="H899" s="26"/>
    </row>
    <row r="900" spans="1:8" ht="15.75" customHeight="1" x14ac:dyDescent="0.25">
      <c r="A900" s="32">
        <v>896</v>
      </c>
      <c r="B900" s="179"/>
      <c r="C900" s="179"/>
      <c r="D900" s="18" t="s">
        <v>1212</v>
      </c>
      <c r="E900" s="26"/>
      <c r="F900" s="26"/>
      <c r="G900" s="26">
        <v>0.5</v>
      </c>
      <c r="H900" s="26"/>
    </row>
    <row r="901" spans="1:8" ht="15.75" customHeight="1" x14ac:dyDescent="0.25">
      <c r="A901" s="32">
        <v>897</v>
      </c>
      <c r="B901" s="179"/>
      <c r="C901" s="179"/>
      <c r="D901" s="18" t="s">
        <v>1213</v>
      </c>
      <c r="E901" s="26"/>
      <c r="F901" s="26"/>
      <c r="G901" s="26">
        <v>0.25</v>
      </c>
      <c r="H901" s="26"/>
    </row>
    <row r="902" spans="1:8" ht="15.75" customHeight="1" x14ac:dyDescent="0.25">
      <c r="A902" s="32">
        <v>898</v>
      </c>
      <c r="B902" s="179"/>
      <c r="C902" s="179"/>
      <c r="D902" s="18" t="s">
        <v>1214</v>
      </c>
      <c r="E902" s="26"/>
      <c r="F902" s="26"/>
      <c r="G902" s="26">
        <v>0.25</v>
      </c>
      <c r="H902" s="26"/>
    </row>
    <row r="903" spans="1:8" ht="15.75" customHeight="1" x14ac:dyDescent="0.25">
      <c r="A903" s="32">
        <v>899</v>
      </c>
      <c r="B903" s="179"/>
      <c r="C903" s="179"/>
      <c r="D903" s="18" t="s">
        <v>1215</v>
      </c>
      <c r="E903" s="26"/>
      <c r="F903" s="26"/>
      <c r="G903" s="26">
        <v>0.5</v>
      </c>
      <c r="H903" s="26"/>
    </row>
    <row r="904" spans="1:8" ht="15.75" customHeight="1" x14ac:dyDescent="0.25">
      <c r="A904" s="32">
        <v>900</v>
      </c>
      <c r="B904" s="179"/>
      <c r="C904" s="179"/>
      <c r="D904" s="18" t="s">
        <v>1216</v>
      </c>
      <c r="E904" s="26"/>
      <c r="F904" s="26"/>
      <c r="G904" s="26">
        <v>0.25</v>
      </c>
      <c r="H904" s="26"/>
    </row>
    <row r="905" spans="1:8" ht="15.75" customHeight="1" x14ac:dyDescent="0.25">
      <c r="A905" s="32">
        <v>901</v>
      </c>
      <c r="B905" s="179"/>
      <c r="C905" s="179"/>
      <c r="D905" s="18" t="s">
        <v>1217</v>
      </c>
      <c r="E905" s="26"/>
      <c r="F905" s="26"/>
      <c r="G905" s="26">
        <v>0.5</v>
      </c>
      <c r="H905" s="26"/>
    </row>
    <row r="906" spans="1:8" ht="15.75" customHeight="1" x14ac:dyDescent="0.25">
      <c r="A906" s="32">
        <v>902</v>
      </c>
      <c r="B906" s="179"/>
      <c r="C906" s="179"/>
      <c r="D906" s="18" t="s">
        <v>1218</v>
      </c>
      <c r="E906" s="26"/>
      <c r="F906" s="26"/>
      <c r="G906" s="26">
        <v>0.5</v>
      </c>
      <c r="H906" s="26"/>
    </row>
    <row r="907" spans="1:8" ht="15.75" customHeight="1" x14ac:dyDescent="0.25">
      <c r="A907" s="32">
        <v>903</v>
      </c>
      <c r="B907" s="179"/>
      <c r="C907" s="179"/>
      <c r="D907" s="18" t="s">
        <v>1219</v>
      </c>
      <c r="E907" s="26"/>
      <c r="F907" s="26"/>
      <c r="G907" s="26"/>
      <c r="H907" s="26"/>
    </row>
    <row r="908" spans="1:8" ht="15.75" customHeight="1" x14ac:dyDescent="0.25">
      <c r="A908" s="32">
        <v>904</v>
      </c>
      <c r="B908" s="179"/>
      <c r="C908" s="180"/>
      <c r="D908" s="18" t="s">
        <v>1220</v>
      </c>
      <c r="E908" s="26"/>
      <c r="F908" s="26"/>
      <c r="G908" s="26">
        <v>0.25</v>
      </c>
      <c r="H908" s="26"/>
    </row>
    <row r="909" spans="1:8" ht="15.75" customHeight="1" x14ac:dyDescent="0.25">
      <c r="A909" s="32">
        <v>905</v>
      </c>
      <c r="B909" s="179"/>
      <c r="C909" s="178" t="s">
        <v>1221</v>
      </c>
      <c r="D909" s="18" t="s">
        <v>1222</v>
      </c>
      <c r="E909" s="26"/>
      <c r="F909" s="26"/>
      <c r="G909" s="26">
        <v>0.15</v>
      </c>
      <c r="H909" s="26"/>
    </row>
    <row r="910" spans="1:8" ht="15.75" customHeight="1" x14ac:dyDescent="0.25">
      <c r="A910" s="32">
        <v>906</v>
      </c>
      <c r="B910" s="179"/>
      <c r="C910" s="179"/>
      <c r="D910" s="18" t="s">
        <v>1223</v>
      </c>
      <c r="E910" s="26"/>
      <c r="F910" s="26"/>
      <c r="G910" s="26">
        <v>0.25</v>
      </c>
      <c r="H910" s="26"/>
    </row>
    <row r="911" spans="1:8" ht="15.75" customHeight="1" x14ac:dyDescent="0.25">
      <c r="A911" s="32">
        <v>907</v>
      </c>
      <c r="B911" s="179"/>
      <c r="C911" s="179"/>
      <c r="D911" s="18" t="s">
        <v>1224</v>
      </c>
      <c r="E911" s="26"/>
      <c r="F911" s="26"/>
      <c r="G911" s="26">
        <v>0.15</v>
      </c>
      <c r="H911" s="26"/>
    </row>
    <row r="912" spans="1:8" ht="15.75" customHeight="1" x14ac:dyDescent="0.25">
      <c r="A912" s="32">
        <v>908</v>
      </c>
      <c r="B912" s="179"/>
      <c r="C912" s="179"/>
      <c r="D912" s="18" t="s">
        <v>1225</v>
      </c>
      <c r="E912" s="26"/>
      <c r="F912" s="26"/>
      <c r="G912" s="26">
        <v>0.15</v>
      </c>
      <c r="H912" s="26"/>
    </row>
    <row r="913" spans="1:8" ht="15.75" customHeight="1" x14ac:dyDescent="0.25">
      <c r="A913" s="32">
        <v>909</v>
      </c>
      <c r="B913" s="179"/>
      <c r="C913" s="179"/>
      <c r="D913" s="18" t="s">
        <v>1210</v>
      </c>
      <c r="E913" s="26"/>
      <c r="F913" s="26"/>
      <c r="G913" s="26">
        <v>1</v>
      </c>
      <c r="H913" s="26"/>
    </row>
    <row r="914" spans="1:8" ht="15.75" customHeight="1" x14ac:dyDescent="0.25">
      <c r="A914" s="32">
        <v>910</v>
      </c>
      <c r="B914" s="179"/>
      <c r="C914" s="179"/>
      <c r="D914" s="18" t="s">
        <v>1226</v>
      </c>
      <c r="E914" s="26"/>
      <c r="F914" s="26"/>
      <c r="G914" s="26">
        <v>0.25</v>
      </c>
      <c r="H914" s="26"/>
    </row>
    <row r="915" spans="1:8" ht="15.75" customHeight="1" x14ac:dyDescent="0.25">
      <c r="A915" s="32">
        <v>911</v>
      </c>
      <c r="B915" s="179"/>
      <c r="C915" s="179"/>
      <c r="D915" s="18" t="s">
        <v>1227</v>
      </c>
      <c r="E915" s="26"/>
      <c r="F915" s="26"/>
      <c r="G915" s="26">
        <v>0.25</v>
      </c>
      <c r="H915" s="26"/>
    </row>
    <row r="916" spans="1:8" ht="15.75" customHeight="1" x14ac:dyDescent="0.25">
      <c r="A916" s="32">
        <v>912</v>
      </c>
      <c r="B916" s="179"/>
      <c r="C916" s="179"/>
      <c r="D916" s="18" t="s">
        <v>1228</v>
      </c>
      <c r="E916" s="26"/>
      <c r="F916" s="26"/>
      <c r="G916" s="26">
        <v>0.25</v>
      </c>
      <c r="H916" s="26"/>
    </row>
    <row r="917" spans="1:8" ht="15.75" customHeight="1" x14ac:dyDescent="0.25">
      <c r="A917" s="32">
        <v>913</v>
      </c>
      <c r="B917" s="179"/>
      <c r="C917" s="179"/>
      <c r="D917" s="18" t="s">
        <v>1229</v>
      </c>
      <c r="E917" s="26"/>
      <c r="F917" s="26"/>
      <c r="G917" s="26">
        <v>0.25</v>
      </c>
      <c r="H917" s="26"/>
    </row>
    <row r="918" spans="1:8" ht="15.75" customHeight="1" x14ac:dyDescent="0.25">
      <c r="A918" s="32">
        <v>914</v>
      </c>
      <c r="B918" s="179"/>
      <c r="C918" s="179"/>
      <c r="D918" s="18" t="s">
        <v>1230</v>
      </c>
      <c r="E918" s="26"/>
      <c r="F918" s="26"/>
      <c r="G918" s="26">
        <v>0.3</v>
      </c>
      <c r="H918" s="26"/>
    </row>
    <row r="919" spans="1:8" ht="15.75" customHeight="1" x14ac:dyDescent="0.25">
      <c r="A919" s="32">
        <v>915</v>
      </c>
      <c r="B919" s="179"/>
      <c r="C919" s="179"/>
      <c r="D919" s="18" t="s">
        <v>1231</v>
      </c>
      <c r="E919" s="26"/>
      <c r="F919" s="26"/>
      <c r="G919" s="26">
        <v>0.25</v>
      </c>
      <c r="H919" s="26"/>
    </row>
    <row r="920" spans="1:8" ht="15.75" customHeight="1" x14ac:dyDescent="0.25">
      <c r="A920" s="32">
        <v>916</v>
      </c>
      <c r="B920" s="179"/>
      <c r="C920" s="179"/>
      <c r="D920" s="18" t="s">
        <v>1232</v>
      </c>
      <c r="E920" s="26"/>
      <c r="F920" s="26"/>
      <c r="G920" s="26">
        <v>0.25</v>
      </c>
      <c r="H920" s="26"/>
    </row>
    <row r="921" spans="1:8" ht="15.75" customHeight="1" x14ac:dyDescent="0.25">
      <c r="A921" s="32">
        <v>917</v>
      </c>
      <c r="B921" s="179"/>
      <c r="C921" s="179"/>
      <c r="D921" s="18" t="s">
        <v>1233</v>
      </c>
      <c r="E921" s="26"/>
      <c r="F921" s="26"/>
      <c r="G921" s="26">
        <v>0.25</v>
      </c>
      <c r="H921" s="26"/>
    </row>
    <row r="922" spans="1:8" ht="15.75" customHeight="1" x14ac:dyDescent="0.25">
      <c r="A922" s="32">
        <v>918</v>
      </c>
      <c r="B922" s="179"/>
      <c r="C922" s="179"/>
      <c r="D922" s="18" t="s">
        <v>1052</v>
      </c>
      <c r="E922" s="26"/>
      <c r="F922" s="26"/>
      <c r="G922" s="26">
        <v>0.25</v>
      </c>
      <c r="H922" s="26"/>
    </row>
    <row r="923" spans="1:8" ht="15.75" customHeight="1" x14ac:dyDescent="0.25">
      <c r="A923" s="32">
        <v>919</v>
      </c>
      <c r="B923" s="179"/>
      <c r="C923" s="179"/>
      <c r="D923" s="18" t="s">
        <v>1234</v>
      </c>
      <c r="E923" s="26"/>
      <c r="F923" s="26"/>
      <c r="G923" s="26">
        <v>0.25</v>
      </c>
      <c r="H923" s="26"/>
    </row>
    <row r="924" spans="1:8" ht="15.75" customHeight="1" x14ac:dyDescent="0.25">
      <c r="A924" s="32">
        <v>920</v>
      </c>
      <c r="B924" s="179"/>
      <c r="C924" s="179"/>
      <c r="D924" s="18" t="s">
        <v>1235</v>
      </c>
      <c r="E924" s="26"/>
      <c r="F924" s="26"/>
      <c r="G924" s="26">
        <v>0.25</v>
      </c>
      <c r="H924" s="26"/>
    </row>
    <row r="925" spans="1:8" ht="15.75" customHeight="1" x14ac:dyDescent="0.25">
      <c r="A925" s="32">
        <v>921</v>
      </c>
      <c r="B925" s="179"/>
      <c r="C925" s="179"/>
      <c r="D925" s="18" t="s">
        <v>1236</v>
      </c>
      <c r="E925" s="26"/>
      <c r="F925" s="26"/>
      <c r="G925" s="26">
        <v>0.15</v>
      </c>
      <c r="H925" s="26"/>
    </row>
    <row r="926" spans="1:8" ht="15.75" customHeight="1" x14ac:dyDescent="0.25">
      <c r="A926" s="32">
        <v>922</v>
      </c>
      <c r="B926" s="179"/>
      <c r="C926" s="179"/>
      <c r="D926" s="18" t="s">
        <v>1237</v>
      </c>
      <c r="E926" s="26"/>
      <c r="F926" s="26"/>
      <c r="G926" s="26">
        <v>1.5</v>
      </c>
      <c r="H926" s="26"/>
    </row>
    <row r="927" spans="1:8" ht="15.75" customHeight="1" x14ac:dyDescent="0.25">
      <c r="A927" s="32">
        <v>923</v>
      </c>
      <c r="B927" s="179"/>
      <c r="C927" s="179"/>
      <c r="D927" s="18" t="s">
        <v>1238</v>
      </c>
      <c r="E927" s="26"/>
      <c r="F927" s="26"/>
      <c r="G927" s="26">
        <v>0.2</v>
      </c>
      <c r="H927" s="26"/>
    </row>
    <row r="928" spans="1:8" ht="15.75" customHeight="1" x14ac:dyDescent="0.25">
      <c r="A928" s="32">
        <v>924</v>
      </c>
      <c r="B928" s="179"/>
      <c r="C928" s="179"/>
      <c r="D928" s="18" t="s">
        <v>1239</v>
      </c>
      <c r="E928" s="26"/>
      <c r="F928" s="26"/>
      <c r="G928" s="26">
        <v>0.25</v>
      </c>
      <c r="H928" s="26"/>
    </row>
    <row r="929" spans="1:8" ht="15.75" customHeight="1" x14ac:dyDescent="0.25">
      <c r="A929" s="32">
        <v>925</v>
      </c>
      <c r="B929" s="179"/>
      <c r="C929" s="179"/>
      <c r="D929" s="18" t="s">
        <v>1240</v>
      </c>
      <c r="E929" s="26"/>
      <c r="F929" s="26"/>
      <c r="G929" s="26">
        <v>0.25</v>
      </c>
      <c r="H929" s="26"/>
    </row>
    <row r="930" spans="1:8" ht="15.75" customHeight="1" x14ac:dyDescent="0.25">
      <c r="A930" s="32">
        <v>926</v>
      </c>
      <c r="B930" s="179"/>
      <c r="C930" s="179"/>
      <c r="D930" s="18" t="s">
        <v>1241</v>
      </c>
      <c r="E930" s="26"/>
      <c r="F930" s="26"/>
      <c r="G930" s="26">
        <v>1.5</v>
      </c>
      <c r="H930" s="26"/>
    </row>
    <row r="931" spans="1:8" ht="15.75" customHeight="1" x14ac:dyDescent="0.25">
      <c r="A931" s="32">
        <v>927</v>
      </c>
      <c r="B931" s="179"/>
      <c r="C931" s="179"/>
      <c r="D931" s="18" t="s">
        <v>1242</v>
      </c>
      <c r="E931" s="26"/>
      <c r="F931" s="26"/>
      <c r="G931" s="26">
        <v>0.25</v>
      </c>
      <c r="H931" s="26"/>
    </row>
    <row r="932" spans="1:8" ht="15.75" customHeight="1" x14ac:dyDescent="0.25">
      <c r="A932" s="32">
        <v>928</v>
      </c>
      <c r="B932" s="179"/>
      <c r="C932" s="179"/>
      <c r="D932" s="18" t="s">
        <v>1216</v>
      </c>
      <c r="E932" s="26"/>
      <c r="F932" s="26"/>
      <c r="G932" s="26">
        <v>2</v>
      </c>
      <c r="H932" s="26"/>
    </row>
    <row r="933" spans="1:8" ht="15.75" customHeight="1" x14ac:dyDescent="0.25">
      <c r="A933" s="32">
        <v>929</v>
      </c>
      <c r="B933" s="179"/>
      <c r="C933" s="179"/>
      <c r="D933" s="18" t="s">
        <v>1243</v>
      </c>
      <c r="E933" s="26"/>
      <c r="F933" s="26"/>
      <c r="G933" s="26">
        <v>0.2</v>
      </c>
      <c r="H933" s="26"/>
    </row>
    <row r="934" spans="1:8" ht="15.75" customHeight="1" x14ac:dyDescent="0.25">
      <c r="A934" s="32">
        <v>930</v>
      </c>
      <c r="B934" s="179"/>
      <c r="C934" s="179"/>
      <c r="D934" s="18" t="s">
        <v>1244</v>
      </c>
      <c r="E934" s="26"/>
      <c r="F934" s="26"/>
      <c r="G934" s="26">
        <v>0.15</v>
      </c>
      <c r="H934" s="26"/>
    </row>
    <row r="935" spans="1:8" ht="15.75" customHeight="1" x14ac:dyDescent="0.25">
      <c r="A935" s="32">
        <v>931</v>
      </c>
      <c r="B935" s="179"/>
      <c r="C935" s="179"/>
      <c r="D935" s="18" t="s">
        <v>828</v>
      </c>
      <c r="E935" s="26"/>
      <c r="F935" s="26"/>
      <c r="G935" s="26">
        <v>1.5</v>
      </c>
      <c r="H935" s="26"/>
    </row>
    <row r="936" spans="1:8" ht="15.75" customHeight="1" x14ac:dyDescent="0.25">
      <c r="A936" s="32">
        <v>932</v>
      </c>
      <c r="B936" s="179"/>
      <c r="C936" s="179"/>
      <c r="D936" s="18" t="s">
        <v>1218</v>
      </c>
      <c r="E936" s="26"/>
      <c r="F936" s="26"/>
      <c r="G936" s="26">
        <v>0.3</v>
      </c>
      <c r="H936" s="26"/>
    </row>
    <row r="937" spans="1:8" ht="15.75" customHeight="1" x14ac:dyDescent="0.25">
      <c r="A937" s="32">
        <v>933</v>
      </c>
      <c r="B937" s="179"/>
      <c r="C937" s="179"/>
      <c r="D937" s="18" t="s">
        <v>1245</v>
      </c>
      <c r="E937" s="26"/>
      <c r="F937" s="26"/>
      <c r="G937" s="26">
        <v>2</v>
      </c>
      <c r="H937" s="26"/>
    </row>
    <row r="938" spans="1:8" ht="15.75" customHeight="1" x14ac:dyDescent="0.25">
      <c r="A938" s="32">
        <v>934</v>
      </c>
      <c r="B938" s="179"/>
      <c r="C938" s="179"/>
      <c r="D938" s="18" t="s">
        <v>1246</v>
      </c>
      <c r="E938" s="26"/>
      <c r="F938" s="26"/>
      <c r="G938" s="26">
        <v>1.5</v>
      </c>
      <c r="H938" s="26"/>
    </row>
    <row r="939" spans="1:8" ht="15.75" customHeight="1" x14ac:dyDescent="0.25">
      <c r="A939" s="32">
        <v>935</v>
      </c>
      <c r="B939" s="179"/>
      <c r="C939" s="179"/>
      <c r="D939" s="18" t="s">
        <v>527</v>
      </c>
      <c r="E939" s="26"/>
      <c r="F939" s="26"/>
      <c r="G939" s="26">
        <v>0.3</v>
      </c>
      <c r="H939" s="26"/>
    </row>
    <row r="940" spans="1:8" ht="15.75" customHeight="1" x14ac:dyDescent="0.25">
      <c r="A940" s="32">
        <v>936</v>
      </c>
      <c r="B940" s="179"/>
      <c r="C940" s="179"/>
      <c r="D940" s="18" t="s">
        <v>1219</v>
      </c>
      <c r="E940" s="26"/>
      <c r="F940" s="26"/>
      <c r="G940" s="26">
        <v>2</v>
      </c>
      <c r="H940" s="26"/>
    </row>
    <row r="941" spans="1:8" ht="15.75" customHeight="1" x14ac:dyDescent="0.25">
      <c r="A941" s="32">
        <v>937</v>
      </c>
      <c r="B941" s="179"/>
      <c r="C941" s="180"/>
      <c r="D941" s="18" t="s">
        <v>1220</v>
      </c>
      <c r="E941" s="26"/>
      <c r="F941" s="26"/>
      <c r="G941" s="26">
        <v>0.25</v>
      </c>
      <c r="H941" s="26"/>
    </row>
    <row r="942" spans="1:8" ht="15.75" customHeight="1" x14ac:dyDescent="0.25">
      <c r="A942" s="32">
        <v>938</v>
      </c>
      <c r="B942" s="179"/>
      <c r="C942" s="178" t="s">
        <v>314</v>
      </c>
      <c r="D942" s="18" t="s">
        <v>1247</v>
      </c>
      <c r="E942" s="26"/>
      <c r="F942" s="26"/>
      <c r="G942" s="26">
        <v>0.5</v>
      </c>
      <c r="H942" s="26"/>
    </row>
    <row r="943" spans="1:8" ht="15.75" customHeight="1" x14ac:dyDescent="0.25">
      <c r="A943" s="32">
        <v>939</v>
      </c>
      <c r="B943" s="179"/>
      <c r="C943" s="179"/>
      <c r="D943" s="18" t="s">
        <v>1248</v>
      </c>
      <c r="E943" s="26"/>
      <c r="F943" s="26"/>
      <c r="G943" s="26">
        <v>0.25</v>
      </c>
      <c r="H943" s="26"/>
    </row>
    <row r="944" spans="1:8" ht="15.75" customHeight="1" x14ac:dyDescent="0.25">
      <c r="A944" s="32">
        <v>940</v>
      </c>
      <c r="B944" s="179"/>
      <c r="C944" s="179"/>
      <c r="D944" s="18" t="s">
        <v>421</v>
      </c>
      <c r="E944" s="26"/>
      <c r="F944" s="26"/>
      <c r="G944" s="26">
        <v>0.7</v>
      </c>
      <c r="H944" s="26"/>
    </row>
    <row r="945" spans="1:8" ht="15.75" customHeight="1" x14ac:dyDescent="0.25">
      <c r="A945" s="32">
        <v>941</v>
      </c>
      <c r="B945" s="179"/>
      <c r="C945" s="179"/>
      <c r="D945" s="18" t="s">
        <v>1249</v>
      </c>
      <c r="E945" s="26"/>
      <c r="F945" s="26"/>
      <c r="G945" s="26">
        <v>0.5</v>
      </c>
      <c r="H945" s="26"/>
    </row>
    <row r="946" spans="1:8" ht="15.75" customHeight="1" x14ac:dyDescent="0.25">
      <c r="A946" s="32">
        <v>942</v>
      </c>
      <c r="B946" s="179"/>
      <c r="C946" s="179"/>
      <c r="D946" s="18" t="s">
        <v>816</v>
      </c>
      <c r="E946" s="26"/>
      <c r="F946" s="26"/>
      <c r="G946" s="26">
        <v>0.4</v>
      </c>
      <c r="H946" s="26"/>
    </row>
    <row r="947" spans="1:8" ht="15.75" customHeight="1" x14ac:dyDescent="0.25">
      <c r="A947" s="32">
        <v>943</v>
      </c>
      <c r="B947" s="179"/>
      <c r="C947" s="179"/>
      <c r="D947" s="18" t="s">
        <v>1250</v>
      </c>
      <c r="E947" s="26"/>
      <c r="F947" s="26"/>
      <c r="G947" s="26">
        <v>0.5</v>
      </c>
      <c r="H947" s="26"/>
    </row>
    <row r="948" spans="1:8" ht="15.75" customHeight="1" x14ac:dyDescent="0.25">
      <c r="A948" s="32">
        <v>944</v>
      </c>
      <c r="B948" s="179"/>
      <c r="C948" s="179"/>
      <c r="D948" s="18" t="s">
        <v>1251</v>
      </c>
      <c r="E948" s="26"/>
      <c r="F948" s="26"/>
      <c r="G948" s="26">
        <v>0.5</v>
      </c>
      <c r="H948" s="26"/>
    </row>
    <row r="949" spans="1:8" ht="15.75" customHeight="1" x14ac:dyDescent="0.25">
      <c r="A949" s="32">
        <v>945</v>
      </c>
      <c r="B949" s="179"/>
      <c r="C949" s="179"/>
      <c r="D949" s="18" t="s">
        <v>1252</v>
      </c>
      <c r="E949" s="26"/>
      <c r="F949" s="26"/>
      <c r="G949" s="26">
        <v>0.5</v>
      </c>
      <c r="H949" s="26"/>
    </row>
    <row r="950" spans="1:8" ht="15.75" customHeight="1" x14ac:dyDescent="0.25">
      <c r="A950" s="32">
        <v>946</v>
      </c>
      <c r="B950" s="179"/>
      <c r="C950" s="179"/>
      <c r="D950" s="18" t="s">
        <v>1253</v>
      </c>
      <c r="E950" s="26"/>
      <c r="F950" s="26"/>
      <c r="G950" s="26">
        <v>0.5</v>
      </c>
      <c r="H950" s="26"/>
    </row>
    <row r="951" spans="1:8" ht="15.75" customHeight="1" x14ac:dyDescent="0.25">
      <c r="A951" s="32">
        <v>947</v>
      </c>
      <c r="B951" s="179"/>
      <c r="C951" s="179"/>
      <c r="D951" s="18" t="s">
        <v>1254</v>
      </c>
      <c r="E951" s="26"/>
      <c r="F951" s="26"/>
      <c r="G951" s="26">
        <v>0.8</v>
      </c>
      <c r="H951" s="26"/>
    </row>
    <row r="952" spans="1:8" ht="15.75" customHeight="1" x14ac:dyDescent="0.25">
      <c r="A952" s="32">
        <v>948</v>
      </c>
      <c r="B952" s="179"/>
      <c r="C952" s="179"/>
      <c r="D952" s="18" t="s">
        <v>1255</v>
      </c>
      <c r="E952" s="26"/>
      <c r="F952" s="26"/>
      <c r="G952" s="26">
        <v>0.3</v>
      </c>
      <c r="H952" s="26"/>
    </row>
    <row r="953" spans="1:8" ht="15.75" customHeight="1" x14ac:dyDescent="0.25">
      <c r="A953" s="32">
        <v>949</v>
      </c>
      <c r="B953" s="179"/>
      <c r="C953" s="179"/>
      <c r="D953" s="18" t="s">
        <v>1256</v>
      </c>
      <c r="E953" s="26"/>
      <c r="F953" s="26"/>
      <c r="G953" s="26">
        <v>0.25</v>
      </c>
      <c r="H953" s="26"/>
    </row>
    <row r="954" spans="1:8" ht="15.75" customHeight="1" x14ac:dyDescent="0.25">
      <c r="A954" s="32">
        <v>950</v>
      </c>
      <c r="B954" s="179"/>
      <c r="C954" s="179"/>
      <c r="D954" s="18" t="s">
        <v>1257</v>
      </c>
      <c r="E954" s="26"/>
      <c r="F954" s="26"/>
      <c r="G954" s="26">
        <v>0.5</v>
      </c>
      <c r="H954" s="26"/>
    </row>
    <row r="955" spans="1:8" ht="15.75" customHeight="1" x14ac:dyDescent="0.25">
      <c r="A955" s="32">
        <v>951</v>
      </c>
      <c r="B955" s="179"/>
      <c r="C955" s="179"/>
      <c r="D955" s="18" t="s">
        <v>1258</v>
      </c>
      <c r="E955" s="26"/>
      <c r="F955" s="26"/>
      <c r="G955" s="26">
        <v>0.78</v>
      </c>
      <c r="H955" s="26"/>
    </row>
    <row r="956" spans="1:8" ht="15.75" customHeight="1" x14ac:dyDescent="0.25">
      <c r="A956" s="32">
        <v>952</v>
      </c>
      <c r="B956" s="179"/>
      <c r="C956" s="179"/>
      <c r="D956" s="18" t="s">
        <v>1259</v>
      </c>
      <c r="E956" s="26"/>
      <c r="F956" s="26"/>
      <c r="G956" s="26">
        <v>1</v>
      </c>
      <c r="H956" s="26"/>
    </row>
    <row r="957" spans="1:8" ht="15.75" customHeight="1" x14ac:dyDescent="0.25">
      <c r="A957" s="32">
        <v>953</v>
      </c>
      <c r="B957" s="179"/>
      <c r="C957" s="179"/>
      <c r="D957" s="18" t="s">
        <v>1260</v>
      </c>
      <c r="E957" s="26"/>
      <c r="F957" s="26"/>
      <c r="G957" s="26">
        <v>0.5</v>
      </c>
      <c r="H957" s="26"/>
    </row>
    <row r="958" spans="1:8" ht="15.75" customHeight="1" x14ac:dyDescent="0.25">
      <c r="A958" s="32">
        <v>954</v>
      </c>
      <c r="B958" s="179"/>
      <c r="C958" s="179"/>
      <c r="D958" s="18" t="s">
        <v>1261</v>
      </c>
      <c r="E958" s="26"/>
      <c r="F958" s="26"/>
      <c r="G958" s="26">
        <v>0.6</v>
      </c>
      <c r="H958" s="26"/>
    </row>
    <row r="959" spans="1:8" ht="15.75" customHeight="1" x14ac:dyDescent="0.25">
      <c r="A959" s="32">
        <v>955</v>
      </c>
      <c r="B959" s="179"/>
      <c r="C959" s="179"/>
      <c r="D959" s="18" t="s">
        <v>957</v>
      </c>
      <c r="E959" s="26"/>
      <c r="F959" s="26"/>
      <c r="G959" s="26">
        <v>0.4</v>
      </c>
      <c r="H959" s="26"/>
    </row>
    <row r="960" spans="1:8" ht="15.75" customHeight="1" x14ac:dyDescent="0.25">
      <c r="A960" s="32">
        <v>956</v>
      </c>
      <c r="B960" s="179"/>
      <c r="C960" s="179"/>
      <c r="D960" s="18" t="s">
        <v>1262</v>
      </c>
      <c r="E960" s="26"/>
      <c r="F960" s="26"/>
      <c r="G960" s="26">
        <v>1.8</v>
      </c>
      <c r="H960" s="26"/>
    </row>
    <row r="961" spans="1:8" ht="15.75" customHeight="1" x14ac:dyDescent="0.25">
      <c r="A961" s="32">
        <v>957</v>
      </c>
      <c r="B961" s="179"/>
      <c r="C961" s="179"/>
      <c r="D961" s="18" t="s">
        <v>635</v>
      </c>
      <c r="E961" s="26"/>
      <c r="F961" s="26"/>
      <c r="G961" s="26">
        <v>0.4</v>
      </c>
      <c r="H961" s="26"/>
    </row>
    <row r="962" spans="1:8" ht="15.75" customHeight="1" x14ac:dyDescent="0.25">
      <c r="A962" s="32">
        <v>958</v>
      </c>
      <c r="B962" s="179"/>
      <c r="C962" s="179"/>
      <c r="D962" s="18" t="s">
        <v>1263</v>
      </c>
      <c r="E962" s="26"/>
      <c r="F962" s="26"/>
      <c r="G962" s="26">
        <v>1</v>
      </c>
      <c r="H962" s="26"/>
    </row>
    <row r="963" spans="1:8" ht="15.75" customHeight="1" x14ac:dyDescent="0.25">
      <c r="A963" s="32">
        <v>959</v>
      </c>
      <c r="B963" s="179"/>
      <c r="C963" s="179"/>
      <c r="D963" s="18" t="s">
        <v>1264</v>
      </c>
      <c r="E963" s="26"/>
      <c r="F963" s="26"/>
      <c r="G963" s="26">
        <v>0.5</v>
      </c>
      <c r="H963" s="26"/>
    </row>
    <row r="964" spans="1:8" ht="15.75" customHeight="1" x14ac:dyDescent="0.25">
      <c r="A964" s="32">
        <v>960</v>
      </c>
      <c r="B964" s="179"/>
      <c r="C964" s="179"/>
      <c r="D964" s="18" t="s">
        <v>1265</v>
      </c>
      <c r="E964" s="26"/>
      <c r="F964" s="26"/>
      <c r="G964" s="26">
        <v>1</v>
      </c>
      <c r="H964" s="26"/>
    </row>
    <row r="965" spans="1:8" ht="15.75" customHeight="1" x14ac:dyDescent="0.25">
      <c r="A965" s="32">
        <v>961</v>
      </c>
      <c r="B965" s="179"/>
      <c r="C965" s="180"/>
      <c r="D965" s="18" t="s">
        <v>1266</v>
      </c>
      <c r="E965" s="26"/>
      <c r="F965" s="26"/>
      <c r="G965" s="26">
        <v>0.78</v>
      </c>
      <c r="H965" s="26"/>
    </row>
    <row r="966" spans="1:8" ht="15.75" customHeight="1" x14ac:dyDescent="0.25">
      <c r="A966" s="32">
        <v>962</v>
      </c>
      <c r="B966" s="179"/>
      <c r="C966" s="178" t="s">
        <v>1267</v>
      </c>
      <c r="D966" s="18" t="s">
        <v>1268</v>
      </c>
      <c r="E966" s="26"/>
      <c r="F966" s="26"/>
      <c r="G966" s="26">
        <v>2</v>
      </c>
      <c r="H966" s="26"/>
    </row>
    <row r="967" spans="1:8" ht="15.75" customHeight="1" x14ac:dyDescent="0.25">
      <c r="A967" s="32">
        <v>963</v>
      </c>
      <c r="B967" s="179"/>
      <c r="C967" s="179"/>
      <c r="D967" s="18" t="s">
        <v>1269</v>
      </c>
      <c r="E967" s="26"/>
      <c r="F967" s="26"/>
      <c r="G967" s="26">
        <v>0.5</v>
      </c>
      <c r="H967" s="26"/>
    </row>
    <row r="968" spans="1:8" ht="15.75" customHeight="1" x14ac:dyDescent="0.25">
      <c r="A968" s="32">
        <v>964</v>
      </c>
      <c r="B968" s="179"/>
      <c r="C968" s="179"/>
      <c r="D968" s="18" t="s">
        <v>1270</v>
      </c>
      <c r="E968" s="26"/>
      <c r="F968" s="26"/>
      <c r="G968" s="26">
        <v>0.5</v>
      </c>
      <c r="H968" s="26"/>
    </row>
    <row r="969" spans="1:8" ht="15.75" customHeight="1" x14ac:dyDescent="0.25">
      <c r="A969" s="32">
        <v>965</v>
      </c>
      <c r="B969" s="179"/>
      <c r="C969" s="179"/>
      <c r="D969" s="18" t="s">
        <v>1271</v>
      </c>
      <c r="E969" s="26"/>
      <c r="F969" s="26"/>
      <c r="G969" s="26">
        <v>0.5</v>
      </c>
      <c r="H969" s="26"/>
    </row>
    <row r="970" spans="1:8" ht="15.75" customHeight="1" x14ac:dyDescent="0.25">
      <c r="A970" s="32">
        <v>966</v>
      </c>
      <c r="B970" s="179"/>
      <c r="C970" s="179"/>
      <c r="D970" s="18" t="s">
        <v>1272</v>
      </c>
      <c r="E970" s="26"/>
      <c r="F970" s="26"/>
      <c r="G970" s="26">
        <v>1.1000000000000001</v>
      </c>
      <c r="H970" s="26"/>
    </row>
    <row r="971" spans="1:8" ht="15.75" customHeight="1" x14ac:dyDescent="0.25">
      <c r="A971" s="32">
        <v>967</v>
      </c>
      <c r="B971" s="179"/>
      <c r="C971" s="179"/>
      <c r="D971" s="18" t="s">
        <v>1273</v>
      </c>
      <c r="E971" s="26"/>
      <c r="F971" s="26"/>
      <c r="G971" s="26">
        <v>0.5</v>
      </c>
      <c r="H971" s="26"/>
    </row>
    <row r="972" spans="1:8" ht="15.75" customHeight="1" x14ac:dyDescent="0.25">
      <c r="A972" s="32">
        <v>968</v>
      </c>
      <c r="B972" s="179"/>
      <c r="C972" s="179"/>
      <c r="D972" s="18" t="s">
        <v>1274</v>
      </c>
      <c r="E972" s="26"/>
      <c r="F972" s="26"/>
      <c r="G972" s="26">
        <v>0.5</v>
      </c>
      <c r="H972" s="26"/>
    </row>
    <row r="973" spans="1:8" ht="15.75" customHeight="1" x14ac:dyDescent="0.25">
      <c r="A973" s="32">
        <v>969</v>
      </c>
      <c r="B973" s="179"/>
      <c r="C973" s="179"/>
      <c r="D973" s="18" t="s">
        <v>1275</v>
      </c>
      <c r="E973" s="26"/>
      <c r="F973" s="26"/>
      <c r="G973" s="26">
        <v>0.5</v>
      </c>
      <c r="H973" s="26"/>
    </row>
    <row r="974" spans="1:8" ht="15.75" customHeight="1" x14ac:dyDescent="0.25">
      <c r="A974" s="32">
        <v>970</v>
      </c>
      <c r="B974" s="179"/>
      <c r="C974" s="179"/>
      <c r="D974" s="18" t="s">
        <v>1276</v>
      </c>
      <c r="E974" s="26"/>
      <c r="F974" s="26"/>
      <c r="G974" s="26">
        <v>0.75</v>
      </c>
      <c r="H974" s="26"/>
    </row>
    <row r="975" spans="1:8" ht="15.75" customHeight="1" x14ac:dyDescent="0.25">
      <c r="A975" s="32">
        <v>971</v>
      </c>
      <c r="B975" s="179"/>
      <c r="C975" s="179"/>
      <c r="D975" s="18" t="s">
        <v>1277</v>
      </c>
      <c r="E975" s="26"/>
      <c r="F975" s="26"/>
      <c r="G975" s="26">
        <v>0.5</v>
      </c>
      <c r="H975" s="26"/>
    </row>
    <row r="976" spans="1:8" ht="15.75" customHeight="1" x14ac:dyDescent="0.25">
      <c r="A976" s="32">
        <v>972</v>
      </c>
      <c r="B976" s="179"/>
      <c r="C976" s="179"/>
      <c r="D976" s="18" t="s">
        <v>1278</v>
      </c>
      <c r="E976" s="26"/>
      <c r="F976" s="26"/>
      <c r="G976" s="26">
        <v>0.5</v>
      </c>
      <c r="H976" s="26"/>
    </row>
    <row r="977" spans="1:8" ht="15.75" customHeight="1" x14ac:dyDescent="0.25">
      <c r="A977" s="32">
        <v>973</v>
      </c>
      <c r="B977" s="179"/>
      <c r="C977" s="179"/>
      <c r="D977" s="18" t="s">
        <v>1279</v>
      </c>
      <c r="E977" s="26"/>
      <c r="F977" s="26"/>
      <c r="G977" s="26">
        <v>0.5</v>
      </c>
      <c r="H977" s="26"/>
    </row>
    <row r="978" spans="1:8" ht="15.75" customHeight="1" x14ac:dyDescent="0.25">
      <c r="A978" s="32">
        <v>974</v>
      </c>
      <c r="B978" s="179"/>
      <c r="C978" s="179"/>
      <c r="D978" s="18" t="s">
        <v>1280</v>
      </c>
      <c r="E978" s="26"/>
      <c r="F978" s="26"/>
      <c r="G978" s="26">
        <v>1.3</v>
      </c>
      <c r="H978" s="26"/>
    </row>
    <row r="979" spans="1:8" ht="15.75" customHeight="1" x14ac:dyDescent="0.25">
      <c r="A979" s="32">
        <v>975</v>
      </c>
      <c r="B979" s="179"/>
      <c r="C979" s="179"/>
      <c r="D979" s="18" t="s">
        <v>1281</v>
      </c>
      <c r="E979" s="26"/>
      <c r="F979" s="26"/>
      <c r="G979" s="26">
        <v>0.84</v>
      </c>
      <c r="H979" s="26"/>
    </row>
    <row r="980" spans="1:8" ht="15.75" customHeight="1" x14ac:dyDescent="0.25">
      <c r="A980" s="32">
        <v>976</v>
      </c>
      <c r="B980" s="179"/>
      <c r="C980" s="179"/>
      <c r="D980" s="18" t="s">
        <v>1202</v>
      </c>
      <c r="E980" s="26"/>
      <c r="F980" s="26"/>
      <c r="G980" s="26">
        <v>0.5</v>
      </c>
      <c r="H980" s="26"/>
    </row>
    <row r="981" spans="1:8" ht="15.75" customHeight="1" x14ac:dyDescent="0.25">
      <c r="A981" s="32">
        <v>977</v>
      </c>
      <c r="B981" s="179"/>
      <c r="C981" s="179"/>
      <c r="D981" s="18" t="s">
        <v>1282</v>
      </c>
      <c r="E981" s="26"/>
      <c r="F981" s="26"/>
      <c r="G981" s="26">
        <v>0.5</v>
      </c>
      <c r="H981" s="26"/>
    </row>
    <row r="982" spans="1:8" ht="15.75" customHeight="1" x14ac:dyDescent="0.25">
      <c r="A982" s="32">
        <v>978</v>
      </c>
      <c r="B982" s="179"/>
      <c r="C982" s="179"/>
      <c r="D982" s="18" t="s">
        <v>383</v>
      </c>
      <c r="E982" s="26"/>
      <c r="F982" s="26"/>
      <c r="G982" s="26">
        <v>1.2</v>
      </c>
      <c r="H982" s="26"/>
    </row>
    <row r="983" spans="1:8" ht="15.75" customHeight="1" x14ac:dyDescent="0.25">
      <c r="A983" s="32">
        <v>979</v>
      </c>
      <c r="B983" s="179"/>
      <c r="C983" s="179"/>
      <c r="D983" s="18" t="s">
        <v>1283</v>
      </c>
      <c r="E983" s="26"/>
      <c r="F983" s="26"/>
      <c r="G983" s="26">
        <v>0.5</v>
      </c>
      <c r="H983" s="26"/>
    </row>
    <row r="984" spans="1:8" ht="15.75" customHeight="1" x14ac:dyDescent="0.25">
      <c r="A984" s="32">
        <v>980</v>
      </c>
      <c r="B984" s="179"/>
      <c r="C984" s="179"/>
      <c r="D984" s="18" t="s">
        <v>1284</v>
      </c>
      <c r="E984" s="26"/>
      <c r="F984" s="26"/>
      <c r="G984" s="26">
        <v>2</v>
      </c>
      <c r="H984" s="26"/>
    </row>
    <row r="985" spans="1:8" ht="15.75" customHeight="1" x14ac:dyDescent="0.25">
      <c r="A985" s="32">
        <v>981</v>
      </c>
      <c r="B985" s="179"/>
      <c r="C985" s="179"/>
      <c r="D985" s="18" t="s">
        <v>1254</v>
      </c>
      <c r="E985" s="26"/>
      <c r="F985" s="26"/>
      <c r="G985" s="26">
        <v>0.7</v>
      </c>
      <c r="H985" s="26"/>
    </row>
    <row r="986" spans="1:8" ht="15.75" customHeight="1" x14ac:dyDescent="0.25">
      <c r="A986" s="32">
        <v>982</v>
      </c>
      <c r="B986" s="179"/>
      <c r="C986" s="179"/>
      <c r="D986" s="18" t="s">
        <v>1285</v>
      </c>
      <c r="E986" s="26"/>
      <c r="F986" s="26"/>
      <c r="G986" s="26">
        <v>0.7</v>
      </c>
      <c r="H986" s="26"/>
    </row>
    <row r="987" spans="1:8" ht="15.75" customHeight="1" x14ac:dyDescent="0.25">
      <c r="A987" s="32">
        <v>983</v>
      </c>
      <c r="B987" s="179"/>
      <c r="C987" s="179"/>
      <c r="D987" s="18" t="s">
        <v>1258</v>
      </c>
      <c r="E987" s="26"/>
      <c r="F987" s="26"/>
      <c r="G987" s="26">
        <v>0.5</v>
      </c>
      <c r="H987" s="26"/>
    </row>
    <row r="988" spans="1:8" ht="15.75" customHeight="1" x14ac:dyDescent="0.25">
      <c r="A988" s="32">
        <v>984</v>
      </c>
      <c r="B988" s="179"/>
      <c r="C988" s="179"/>
      <c r="D988" s="18" t="s">
        <v>1259</v>
      </c>
      <c r="E988" s="26"/>
      <c r="F988" s="26"/>
      <c r="G988" s="26">
        <v>0.75</v>
      </c>
      <c r="H988" s="26"/>
    </row>
    <row r="989" spans="1:8" ht="15.75" customHeight="1" x14ac:dyDescent="0.25">
      <c r="A989" s="32">
        <v>985</v>
      </c>
      <c r="B989" s="179"/>
      <c r="C989" s="179"/>
      <c r="D989" s="18" t="s">
        <v>1286</v>
      </c>
      <c r="E989" s="26"/>
      <c r="F989" s="26"/>
      <c r="G989" s="26">
        <v>1.5</v>
      </c>
      <c r="H989" s="26"/>
    </row>
    <row r="990" spans="1:8" ht="15.75" customHeight="1" x14ac:dyDescent="0.25">
      <c r="A990" s="32">
        <v>986</v>
      </c>
      <c r="B990" s="179"/>
      <c r="C990" s="179"/>
      <c r="D990" s="18" t="s">
        <v>1287</v>
      </c>
      <c r="E990" s="26"/>
      <c r="F990" s="26"/>
      <c r="G990" s="26">
        <v>0.7</v>
      </c>
      <c r="H990" s="26"/>
    </row>
    <row r="991" spans="1:8" ht="15.75" customHeight="1" x14ac:dyDescent="0.25">
      <c r="A991" s="32">
        <v>987</v>
      </c>
      <c r="B991" s="179"/>
      <c r="C991" s="179"/>
      <c r="D991" s="18" t="s">
        <v>1288</v>
      </c>
      <c r="E991" s="26"/>
      <c r="F991" s="26"/>
      <c r="G991" s="26">
        <v>0.5</v>
      </c>
      <c r="H991" s="26"/>
    </row>
    <row r="992" spans="1:8" ht="15.75" customHeight="1" x14ac:dyDescent="0.25">
      <c r="A992" s="32">
        <v>988</v>
      </c>
      <c r="B992" s="179"/>
      <c r="C992" s="179"/>
      <c r="D992" s="18" t="s">
        <v>1289</v>
      </c>
      <c r="E992" s="26"/>
      <c r="F992" s="26"/>
      <c r="G992" s="26">
        <v>1.5</v>
      </c>
      <c r="H992" s="26"/>
    </row>
    <row r="993" spans="1:8" ht="15.75" customHeight="1" x14ac:dyDescent="0.25">
      <c r="A993" s="32">
        <v>989</v>
      </c>
      <c r="B993" s="179"/>
      <c r="C993" s="179"/>
      <c r="D993" s="18" t="s">
        <v>917</v>
      </c>
      <c r="E993" s="26"/>
      <c r="F993" s="26"/>
      <c r="G993" s="26">
        <v>1.2</v>
      </c>
      <c r="H993" s="26"/>
    </row>
    <row r="994" spans="1:8" ht="15.75" customHeight="1" x14ac:dyDescent="0.25">
      <c r="A994" s="32">
        <v>990</v>
      </c>
      <c r="B994" s="179"/>
      <c r="C994" s="179"/>
      <c r="D994" s="18" t="s">
        <v>1290</v>
      </c>
      <c r="E994" s="26"/>
      <c r="F994" s="26"/>
      <c r="G994" s="26">
        <v>0.5</v>
      </c>
      <c r="H994" s="26"/>
    </row>
    <row r="995" spans="1:8" ht="15.75" customHeight="1" x14ac:dyDescent="0.25">
      <c r="A995" s="32">
        <v>991</v>
      </c>
      <c r="B995" s="179"/>
      <c r="C995" s="179"/>
      <c r="D995" s="18" t="s">
        <v>456</v>
      </c>
      <c r="E995" s="26"/>
      <c r="F995" s="26"/>
      <c r="G995" s="26">
        <v>1</v>
      </c>
      <c r="H995" s="26"/>
    </row>
    <row r="996" spans="1:8" ht="15.75" customHeight="1" x14ac:dyDescent="0.25">
      <c r="A996" s="32">
        <v>992</v>
      </c>
      <c r="B996" s="179"/>
      <c r="C996" s="179"/>
      <c r="D996" s="18" t="s">
        <v>1291</v>
      </c>
      <c r="E996" s="26"/>
      <c r="F996" s="26"/>
      <c r="G996" s="26">
        <v>0.7</v>
      </c>
      <c r="H996" s="26"/>
    </row>
    <row r="997" spans="1:8" ht="15.75" customHeight="1" x14ac:dyDescent="0.25">
      <c r="A997" s="32">
        <v>993</v>
      </c>
      <c r="B997" s="179"/>
      <c r="C997" s="179"/>
      <c r="D997" s="18" t="s">
        <v>1292</v>
      </c>
      <c r="E997" s="26"/>
      <c r="F997" s="26"/>
      <c r="G997" s="26">
        <v>0.5</v>
      </c>
      <c r="H997" s="26"/>
    </row>
    <row r="998" spans="1:8" ht="15.75" customHeight="1" x14ac:dyDescent="0.25">
      <c r="A998" s="32">
        <v>994</v>
      </c>
      <c r="B998" s="179"/>
      <c r="C998" s="179"/>
      <c r="D998" s="18" t="s">
        <v>1263</v>
      </c>
      <c r="E998" s="26"/>
      <c r="F998" s="26"/>
      <c r="G998" s="26">
        <v>0.3</v>
      </c>
      <c r="H998" s="26"/>
    </row>
    <row r="999" spans="1:8" ht="15.75" customHeight="1" x14ac:dyDescent="0.25">
      <c r="A999" s="32">
        <v>995</v>
      </c>
      <c r="B999" s="179"/>
      <c r="C999" s="179"/>
      <c r="D999" s="18" t="s">
        <v>1293</v>
      </c>
      <c r="E999" s="26"/>
      <c r="F999" s="26"/>
      <c r="G999" s="26">
        <v>1</v>
      </c>
      <c r="H999" s="26"/>
    </row>
    <row r="1000" spans="1:8" ht="15.75" customHeight="1" x14ac:dyDescent="0.25">
      <c r="A1000" s="32">
        <v>996</v>
      </c>
      <c r="B1000" s="179"/>
      <c r="C1000" s="179"/>
      <c r="D1000" s="18" t="s">
        <v>1294</v>
      </c>
      <c r="E1000" s="26"/>
      <c r="F1000" s="26"/>
      <c r="G1000" s="26">
        <v>0.5</v>
      </c>
      <c r="H1000" s="26"/>
    </row>
    <row r="1001" spans="1:8" ht="15.75" customHeight="1" x14ac:dyDescent="0.25">
      <c r="A1001" s="32">
        <v>997</v>
      </c>
      <c r="B1001" s="179"/>
      <c r="C1001" s="179"/>
      <c r="D1001" s="18" t="s">
        <v>1295</v>
      </c>
      <c r="E1001" s="26"/>
      <c r="F1001" s="26"/>
      <c r="G1001" s="26">
        <v>1</v>
      </c>
      <c r="H1001" s="26"/>
    </row>
    <row r="1002" spans="1:8" ht="15.75" customHeight="1" x14ac:dyDescent="0.25">
      <c r="A1002" s="32">
        <v>998</v>
      </c>
      <c r="B1002" s="179"/>
      <c r="C1002" s="179"/>
      <c r="D1002" s="18" t="s">
        <v>1296</v>
      </c>
      <c r="E1002" s="26"/>
      <c r="F1002" s="26"/>
      <c r="G1002" s="26">
        <v>0.5</v>
      </c>
      <c r="H1002" s="26"/>
    </row>
    <row r="1003" spans="1:8" ht="15.75" customHeight="1" x14ac:dyDescent="0.25">
      <c r="A1003" s="32">
        <v>999</v>
      </c>
      <c r="B1003" s="179"/>
      <c r="C1003" s="179"/>
      <c r="D1003" s="18" t="s">
        <v>1297</v>
      </c>
      <c r="E1003" s="26"/>
      <c r="F1003" s="26"/>
      <c r="G1003" s="26">
        <v>0.05</v>
      </c>
      <c r="H1003" s="26"/>
    </row>
    <row r="1004" spans="1:8" ht="15.75" customHeight="1" x14ac:dyDescent="0.25">
      <c r="A1004" s="32">
        <v>1000</v>
      </c>
      <c r="B1004" s="179"/>
      <c r="C1004" s="179"/>
      <c r="D1004" s="18" t="s">
        <v>1298</v>
      </c>
      <c r="E1004" s="26"/>
      <c r="F1004" s="26"/>
      <c r="G1004" s="26">
        <v>1.2</v>
      </c>
      <c r="H1004" s="26"/>
    </row>
    <row r="1005" spans="1:8" ht="15.75" customHeight="1" x14ac:dyDescent="0.25">
      <c r="A1005" s="32">
        <v>1001</v>
      </c>
      <c r="B1005" s="179"/>
      <c r="C1005" s="179"/>
      <c r="D1005" s="18" t="s">
        <v>1299</v>
      </c>
      <c r="E1005" s="26"/>
      <c r="F1005" s="26"/>
      <c r="G1005" s="26">
        <v>1</v>
      </c>
      <c r="H1005" s="26"/>
    </row>
    <row r="1006" spans="1:8" ht="15.75" customHeight="1" x14ac:dyDescent="0.25">
      <c r="A1006" s="32">
        <v>1002</v>
      </c>
      <c r="B1006" s="180"/>
      <c r="C1006" s="180"/>
      <c r="D1006" s="18" t="s">
        <v>1300</v>
      </c>
      <c r="E1006" s="26"/>
      <c r="F1006" s="26"/>
      <c r="G1006" s="26">
        <v>1.5</v>
      </c>
      <c r="H1006" s="26"/>
    </row>
    <row r="1007" spans="1:8" ht="15.75" customHeight="1" x14ac:dyDescent="0.25">
      <c r="A1007" s="32">
        <v>1003</v>
      </c>
      <c r="B1007" s="178" t="s">
        <v>67</v>
      </c>
      <c r="C1007" s="178" t="s">
        <v>1301</v>
      </c>
      <c r="D1007" s="18" t="s">
        <v>1302</v>
      </c>
      <c r="E1007" s="26"/>
      <c r="F1007" s="26"/>
      <c r="G1007" s="26">
        <v>0.4</v>
      </c>
      <c r="H1007" s="26"/>
    </row>
    <row r="1008" spans="1:8" ht="15.75" customHeight="1" x14ac:dyDescent="0.25">
      <c r="A1008" s="32">
        <v>1004</v>
      </c>
      <c r="B1008" s="179"/>
      <c r="C1008" s="179"/>
      <c r="D1008" s="18" t="s">
        <v>1303</v>
      </c>
      <c r="E1008" s="26"/>
      <c r="F1008" s="26"/>
      <c r="G1008" s="26">
        <v>0.45</v>
      </c>
      <c r="H1008" s="26"/>
    </row>
    <row r="1009" spans="1:8" ht="15.75" customHeight="1" x14ac:dyDescent="0.25">
      <c r="A1009" s="32">
        <v>1005</v>
      </c>
      <c r="B1009" s="179"/>
      <c r="C1009" s="179"/>
      <c r="D1009" s="18" t="s">
        <v>1304</v>
      </c>
      <c r="E1009" s="26"/>
      <c r="F1009" s="26"/>
      <c r="G1009" s="26">
        <v>0.5</v>
      </c>
      <c r="H1009" s="26"/>
    </row>
    <row r="1010" spans="1:8" ht="15.75" customHeight="1" x14ac:dyDescent="0.25">
      <c r="A1010" s="32">
        <v>1006</v>
      </c>
      <c r="B1010" s="179"/>
      <c r="C1010" s="179"/>
      <c r="D1010" s="18" t="s">
        <v>1305</v>
      </c>
      <c r="E1010" s="26"/>
      <c r="F1010" s="26"/>
      <c r="G1010" s="26">
        <v>0.65</v>
      </c>
      <c r="H1010" s="26"/>
    </row>
    <row r="1011" spans="1:8" ht="15.75" customHeight="1" x14ac:dyDescent="0.25">
      <c r="A1011" s="32">
        <v>1007</v>
      </c>
      <c r="B1011" s="179"/>
      <c r="C1011" s="179"/>
      <c r="D1011" s="18" t="s">
        <v>1306</v>
      </c>
      <c r="E1011" s="26"/>
      <c r="F1011" s="26"/>
      <c r="G1011" s="26">
        <v>1</v>
      </c>
      <c r="H1011" s="26"/>
    </row>
    <row r="1012" spans="1:8" ht="15.75" customHeight="1" x14ac:dyDescent="0.25">
      <c r="A1012" s="32">
        <v>1008</v>
      </c>
      <c r="B1012" s="179"/>
      <c r="C1012" s="179"/>
      <c r="D1012" s="18" t="s">
        <v>840</v>
      </c>
      <c r="E1012" s="26"/>
      <c r="F1012" s="26"/>
      <c r="G1012" s="26">
        <v>0.3</v>
      </c>
      <c r="H1012" s="26"/>
    </row>
    <row r="1013" spans="1:8" ht="15.75" customHeight="1" x14ac:dyDescent="0.25">
      <c r="A1013" s="32">
        <v>1009</v>
      </c>
      <c r="B1013" s="179"/>
      <c r="C1013" s="179"/>
      <c r="D1013" s="18" t="s">
        <v>1307</v>
      </c>
      <c r="E1013" s="26"/>
      <c r="F1013" s="26"/>
      <c r="G1013" s="26">
        <v>0.75</v>
      </c>
      <c r="H1013" s="26"/>
    </row>
    <row r="1014" spans="1:8" ht="15.75" customHeight="1" x14ac:dyDescent="0.25">
      <c r="A1014" s="32">
        <v>1010</v>
      </c>
      <c r="B1014" s="179"/>
      <c r="C1014" s="179"/>
      <c r="D1014" s="18" t="s">
        <v>1308</v>
      </c>
      <c r="E1014" s="26"/>
      <c r="F1014" s="26"/>
      <c r="G1014" s="26">
        <v>0.75</v>
      </c>
      <c r="H1014" s="26"/>
    </row>
    <row r="1015" spans="1:8" ht="15.75" customHeight="1" x14ac:dyDescent="0.25">
      <c r="A1015" s="32">
        <v>1011</v>
      </c>
      <c r="B1015" s="179"/>
      <c r="C1015" s="179"/>
      <c r="D1015" s="18" t="s">
        <v>1309</v>
      </c>
      <c r="E1015" s="26"/>
      <c r="F1015" s="26"/>
      <c r="G1015" s="26">
        <v>0.75</v>
      </c>
      <c r="H1015" s="26"/>
    </row>
    <row r="1016" spans="1:8" ht="15.75" customHeight="1" x14ac:dyDescent="0.25">
      <c r="A1016" s="32">
        <v>1012</v>
      </c>
      <c r="B1016" s="179"/>
      <c r="C1016" s="179"/>
      <c r="D1016" s="18"/>
      <c r="E1016" s="26"/>
      <c r="F1016" s="26"/>
      <c r="G1016" s="26">
        <v>1</v>
      </c>
      <c r="H1016" s="26"/>
    </row>
    <row r="1017" spans="1:8" ht="15.75" customHeight="1" x14ac:dyDescent="0.25">
      <c r="A1017" s="32">
        <v>1013</v>
      </c>
      <c r="B1017" s="179"/>
      <c r="C1017" s="179"/>
      <c r="D1017" s="18" t="s">
        <v>1310</v>
      </c>
      <c r="E1017" s="26"/>
      <c r="F1017" s="26"/>
      <c r="G1017" s="26">
        <v>1</v>
      </c>
      <c r="H1017" s="26"/>
    </row>
    <row r="1018" spans="1:8" ht="15.75" customHeight="1" x14ac:dyDescent="0.25">
      <c r="A1018" s="32">
        <v>1014</v>
      </c>
      <c r="B1018" s="179"/>
      <c r="C1018" s="179"/>
      <c r="D1018" s="18" t="s">
        <v>1311</v>
      </c>
      <c r="E1018" s="26"/>
      <c r="F1018" s="26"/>
      <c r="G1018" s="26">
        <v>1</v>
      </c>
      <c r="H1018" s="26"/>
    </row>
    <row r="1019" spans="1:8" ht="15.75" customHeight="1" x14ac:dyDescent="0.25">
      <c r="A1019" s="32">
        <v>1015</v>
      </c>
      <c r="B1019" s="179"/>
      <c r="C1019" s="179"/>
      <c r="D1019" s="18" t="s">
        <v>1312</v>
      </c>
      <c r="E1019" s="26"/>
      <c r="F1019" s="26"/>
      <c r="G1019" s="26">
        <v>2</v>
      </c>
      <c r="H1019" s="26"/>
    </row>
    <row r="1020" spans="1:8" ht="15.75" customHeight="1" x14ac:dyDescent="0.25">
      <c r="A1020" s="32">
        <v>1016</v>
      </c>
      <c r="B1020" s="179"/>
      <c r="C1020" s="179"/>
      <c r="D1020" s="18" t="s">
        <v>467</v>
      </c>
      <c r="E1020" s="26"/>
      <c r="F1020" s="26"/>
      <c r="G1020" s="26">
        <v>0.75</v>
      </c>
      <c r="H1020" s="26"/>
    </row>
    <row r="1021" spans="1:8" ht="15.75" customHeight="1" x14ac:dyDescent="0.25">
      <c r="A1021" s="32">
        <v>1017</v>
      </c>
      <c r="B1021" s="179"/>
      <c r="C1021" s="179"/>
      <c r="D1021" s="18" t="s">
        <v>1313</v>
      </c>
      <c r="E1021" s="26"/>
      <c r="F1021" s="26"/>
      <c r="G1021" s="26">
        <v>1</v>
      </c>
      <c r="H1021" s="26"/>
    </row>
    <row r="1022" spans="1:8" ht="15.75" customHeight="1" x14ac:dyDescent="0.25">
      <c r="A1022" s="32">
        <v>1018</v>
      </c>
      <c r="B1022" s="179"/>
      <c r="C1022" s="179"/>
      <c r="D1022" s="18" t="s">
        <v>1314</v>
      </c>
      <c r="E1022" s="26"/>
      <c r="F1022" s="26"/>
      <c r="G1022" s="26">
        <v>0.15</v>
      </c>
      <c r="H1022" s="26"/>
    </row>
    <row r="1023" spans="1:8" ht="15.75" customHeight="1" x14ac:dyDescent="0.25">
      <c r="A1023" s="32">
        <v>1019</v>
      </c>
      <c r="B1023" s="179"/>
      <c r="C1023" s="180"/>
      <c r="D1023" s="18"/>
      <c r="E1023" s="26"/>
      <c r="F1023" s="26"/>
      <c r="G1023" s="26">
        <v>2</v>
      </c>
      <c r="H1023" s="26"/>
    </row>
    <row r="1024" spans="1:8" ht="15.75" customHeight="1" x14ac:dyDescent="0.25">
      <c r="A1024" s="32">
        <v>1020</v>
      </c>
      <c r="B1024" s="179"/>
      <c r="C1024" s="178" t="s">
        <v>1110</v>
      </c>
      <c r="D1024" s="18" t="s">
        <v>1315</v>
      </c>
      <c r="E1024" s="26"/>
      <c r="F1024" s="26"/>
      <c r="G1024" s="26">
        <v>1</v>
      </c>
      <c r="H1024" s="26"/>
    </row>
    <row r="1025" spans="1:8" ht="15.75" customHeight="1" x14ac:dyDescent="0.25">
      <c r="A1025" s="32">
        <v>1021</v>
      </c>
      <c r="B1025" s="179"/>
      <c r="C1025" s="179"/>
      <c r="D1025" s="18" t="s">
        <v>1316</v>
      </c>
      <c r="E1025" s="26"/>
      <c r="F1025" s="26"/>
      <c r="G1025" s="26">
        <v>0.75</v>
      </c>
      <c r="H1025" s="26"/>
    </row>
    <row r="1026" spans="1:8" ht="15.75" customHeight="1" x14ac:dyDescent="0.25">
      <c r="A1026" s="32">
        <v>1022</v>
      </c>
      <c r="B1026" s="179"/>
      <c r="C1026" s="179"/>
      <c r="D1026" s="18" t="s">
        <v>1037</v>
      </c>
      <c r="E1026" s="26"/>
      <c r="F1026" s="26"/>
      <c r="G1026" s="26">
        <v>0.5</v>
      </c>
      <c r="H1026" s="26"/>
    </row>
    <row r="1027" spans="1:8" ht="15.75" customHeight="1" x14ac:dyDescent="0.25">
      <c r="A1027" s="32">
        <v>1023</v>
      </c>
      <c r="B1027" s="179"/>
      <c r="C1027" s="179"/>
      <c r="D1027" s="18" t="s">
        <v>1317</v>
      </c>
      <c r="E1027" s="26"/>
      <c r="F1027" s="26"/>
      <c r="G1027" s="26">
        <v>0.5</v>
      </c>
      <c r="H1027" s="26"/>
    </row>
    <row r="1028" spans="1:8" ht="15.75" customHeight="1" x14ac:dyDescent="0.25">
      <c r="A1028" s="32">
        <v>1024</v>
      </c>
      <c r="B1028" s="179"/>
      <c r="C1028" s="179"/>
      <c r="D1028" s="18" t="s">
        <v>1318</v>
      </c>
      <c r="E1028" s="26"/>
      <c r="F1028" s="26"/>
      <c r="G1028" s="26">
        <v>0.5</v>
      </c>
      <c r="H1028" s="26"/>
    </row>
    <row r="1029" spans="1:8" ht="15.75" customHeight="1" x14ac:dyDescent="0.25">
      <c r="A1029" s="32">
        <v>1025</v>
      </c>
      <c r="B1029" s="179"/>
      <c r="C1029" s="179"/>
      <c r="D1029" s="18" t="s">
        <v>1319</v>
      </c>
      <c r="E1029" s="26"/>
      <c r="F1029" s="26"/>
      <c r="G1029" s="26">
        <v>1</v>
      </c>
      <c r="H1029" s="26"/>
    </row>
    <row r="1030" spans="1:8" ht="15.75" customHeight="1" x14ac:dyDescent="0.25">
      <c r="A1030" s="32">
        <v>1026</v>
      </c>
      <c r="B1030" s="179"/>
      <c r="C1030" s="179"/>
      <c r="D1030" s="18" t="s">
        <v>1320</v>
      </c>
      <c r="E1030" s="26"/>
      <c r="F1030" s="26"/>
      <c r="G1030" s="26">
        <v>0.5</v>
      </c>
      <c r="H1030" s="26"/>
    </row>
    <row r="1031" spans="1:8" ht="15.75" customHeight="1" x14ac:dyDescent="0.25">
      <c r="A1031" s="32">
        <v>1027</v>
      </c>
      <c r="B1031" s="179"/>
      <c r="C1031" s="179"/>
      <c r="D1031" s="18" t="s">
        <v>1307</v>
      </c>
      <c r="E1031" s="26"/>
      <c r="F1031" s="26"/>
      <c r="G1031" s="26">
        <v>0.5</v>
      </c>
      <c r="H1031" s="26"/>
    </row>
    <row r="1032" spans="1:8" ht="15.75" customHeight="1" x14ac:dyDescent="0.25">
      <c r="A1032" s="32">
        <v>1028</v>
      </c>
      <c r="B1032" s="179"/>
      <c r="C1032" s="179"/>
      <c r="D1032" s="18" t="s">
        <v>1321</v>
      </c>
      <c r="E1032" s="26"/>
      <c r="F1032" s="26"/>
      <c r="G1032" s="26">
        <v>1</v>
      </c>
      <c r="H1032" s="26"/>
    </row>
    <row r="1033" spans="1:8" ht="15.75" customHeight="1" x14ac:dyDescent="0.25">
      <c r="A1033" s="32">
        <v>1029</v>
      </c>
      <c r="B1033" s="179"/>
      <c r="C1033" s="179"/>
      <c r="D1033" s="18" t="s">
        <v>1322</v>
      </c>
      <c r="E1033" s="26"/>
      <c r="F1033" s="26"/>
      <c r="G1033" s="26">
        <v>0.5</v>
      </c>
      <c r="H1033" s="26"/>
    </row>
    <row r="1034" spans="1:8" ht="15.75" customHeight="1" x14ac:dyDescent="0.25">
      <c r="A1034" s="32">
        <v>1030</v>
      </c>
      <c r="B1034" s="179"/>
      <c r="C1034" s="179"/>
      <c r="D1034" s="18" t="s">
        <v>612</v>
      </c>
      <c r="E1034" s="26"/>
      <c r="F1034" s="26"/>
      <c r="G1034" s="26">
        <v>0.5</v>
      </c>
      <c r="H1034" s="26"/>
    </row>
    <row r="1035" spans="1:8" ht="15.75" customHeight="1" x14ac:dyDescent="0.25">
      <c r="A1035" s="32">
        <v>1031</v>
      </c>
      <c r="B1035" s="179"/>
      <c r="C1035" s="179"/>
      <c r="D1035" s="18"/>
      <c r="E1035" s="26"/>
      <c r="F1035" s="26"/>
      <c r="G1035" s="26">
        <v>0.3</v>
      </c>
      <c r="H1035" s="26"/>
    </row>
    <row r="1036" spans="1:8" ht="15.75" customHeight="1" x14ac:dyDescent="0.25">
      <c r="A1036" s="32">
        <v>1032</v>
      </c>
      <c r="B1036" s="179"/>
      <c r="C1036" s="179"/>
      <c r="D1036" s="18" t="s">
        <v>1323</v>
      </c>
      <c r="E1036" s="26"/>
      <c r="F1036" s="26"/>
      <c r="G1036" s="26">
        <v>0.3</v>
      </c>
      <c r="H1036" s="26"/>
    </row>
    <row r="1037" spans="1:8" ht="15.75" customHeight="1" x14ac:dyDescent="0.25">
      <c r="A1037" s="32">
        <v>1033</v>
      </c>
      <c r="B1037" s="179"/>
      <c r="C1037" s="179"/>
      <c r="D1037" s="18"/>
      <c r="E1037" s="26"/>
      <c r="F1037" s="26"/>
      <c r="G1037" s="26">
        <v>1</v>
      </c>
      <c r="H1037" s="26"/>
    </row>
    <row r="1038" spans="1:8" ht="15.75" customHeight="1" x14ac:dyDescent="0.25">
      <c r="A1038" s="32">
        <v>1034</v>
      </c>
      <c r="B1038" s="179"/>
      <c r="C1038" s="179"/>
      <c r="D1038" s="18" t="s">
        <v>1324</v>
      </c>
      <c r="E1038" s="26"/>
      <c r="F1038" s="26"/>
      <c r="G1038" s="26">
        <v>0.5</v>
      </c>
      <c r="H1038" s="26"/>
    </row>
    <row r="1039" spans="1:8" ht="15.75" customHeight="1" x14ac:dyDescent="0.25">
      <c r="A1039" s="32">
        <v>1035</v>
      </c>
      <c r="B1039" s="179"/>
      <c r="C1039" s="180"/>
      <c r="D1039" s="18" t="s">
        <v>1325</v>
      </c>
      <c r="E1039" s="26"/>
      <c r="F1039" s="26"/>
      <c r="G1039" s="26">
        <v>0.5</v>
      </c>
      <c r="H1039" s="26"/>
    </row>
    <row r="1040" spans="1:8" ht="15.75" customHeight="1" x14ac:dyDescent="0.25">
      <c r="A1040" s="32">
        <v>1036</v>
      </c>
      <c r="B1040" s="179"/>
      <c r="C1040" s="178" t="s">
        <v>1326</v>
      </c>
      <c r="D1040" s="18" t="s">
        <v>1327</v>
      </c>
      <c r="E1040" s="26"/>
      <c r="F1040" s="26"/>
      <c r="G1040" s="26">
        <v>0.5</v>
      </c>
      <c r="H1040" s="26"/>
    </row>
    <row r="1041" spans="1:8" ht="15.75" customHeight="1" x14ac:dyDescent="0.25">
      <c r="A1041" s="32">
        <v>1037</v>
      </c>
      <c r="B1041" s="179"/>
      <c r="C1041" s="179"/>
      <c r="D1041" s="18" t="s">
        <v>1328</v>
      </c>
      <c r="E1041" s="26"/>
      <c r="F1041" s="26"/>
      <c r="G1041" s="26">
        <v>0.5</v>
      </c>
      <c r="H1041" s="26"/>
    </row>
    <row r="1042" spans="1:8" ht="15.75" customHeight="1" x14ac:dyDescent="0.25">
      <c r="A1042" s="32">
        <v>1038</v>
      </c>
      <c r="B1042" s="179"/>
      <c r="C1042" s="179"/>
      <c r="D1042" s="18" t="s">
        <v>1329</v>
      </c>
      <c r="E1042" s="26"/>
      <c r="F1042" s="26"/>
      <c r="G1042" s="26">
        <v>0.5</v>
      </c>
      <c r="H1042" s="26"/>
    </row>
    <row r="1043" spans="1:8" ht="15.75" customHeight="1" x14ac:dyDescent="0.25">
      <c r="A1043" s="32">
        <v>1039</v>
      </c>
      <c r="B1043" s="179"/>
      <c r="C1043" s="179"/>
      <c r="D1043" s="18" t="s">
        <v>1330</v>
      </c>
      <c r="E1043" s="26"/>
      <c r="F1043" s="26"/>
      <c r="G1043" s="26">
        <v>0.5</v>
      </c>
      <c r="H1043" s="26"/>
    </row>
    <row r="1044" spans="1:8" ht="15.75" customHeight="1" x14ac:dyDescent="0.25">
      <c r="A1044" s="32">
        <v>1040</v>
      </c>
      <c r="B1044" s="179"/>
      <c r="C1044" s="179"/>
      <c r="D1044" s="18" t="s">
        <v>1003</v>
      </c>
      <c r="E1044" s="26"/>
      <c r="F1044" s="26"/>
      <c r="G1044" s="26">
        <v>0.5</v>
      </c>
      <c r="H1044" s="26"/>
    </row>
    <row r="1045" spans="1:8" ht="15.75" customHeight="1" x14ac:dyDescent="0.25">
      <c r="A1045" s="32">
        <v>1041</v>
      </c>
      <c r="B1045" s="179"/>
      <c r="C1045" s="179"/>
      <c r="D1045" s="18" t="s">
        <v>771</v>
      </c>
      <c r="E1045" s="26"/>
      <c r="F1045" s="26"/>
      <c r="G1045" s="26">
        <v>0.5</v>
      </c>
      <c r="H1045" s="26"/>
    </row>
    <row r="1046" spans="1:8" ht="15.75" customHeight="1" x14ac:dyDescent="0.25">
      <c r="A1046" s="32">
        <v>1042</v>
      </c>
      <c r="B1046" s="179"/>
      <c r="C1046" s="179"/>
      <c r="D1046" s="18" t="s">
        <v>1087</v>
      </c>
      <c r="E1046" s="26"/>
      <c r="F1046" s="26"/>
      <c r="G1046" s="26">
        <v>0.75</v>
      </c>
      <c r="H1046" s="26"/>
    </row>
    <row r="1047" spans="1:8" ht="15.75" customHeight="1" x14ac:dyDescent="0.25">
      <c r="A1047" s="32">
        <v>1043</v>
      </c>
      <c r="B1047" s="179"/>
      <c r="C1047" s="179"/>
      <c r="D1047" s="18" t="s">
        <v>812</v>
      </c>
      <c r="E1047" s="26"/>
      <c r="F1047" s="26"/>
      <c r="G1047" s="26">
        <v>0.5</v>
      </c>
      <c r="H1047" s="26"/>
    </row>
    <row r="1048" spans="1:8" ht="15.75" customHeight="1" x14ac:dyDescent="0.25">
      <c r="A1048" s="32">
        <v>1044</v>
      </c>
      <c r="B1048" s="179"/>
      <c r="C1048" s="179"/>
      <c r="D1048" s="18" t="s">
        <v>1331</v>
      </c>
      <c r="E1048" s="26"/>
      <c r="F1048" s="26"/>
      <c r="G1048" s="26">
        <v>0.5</v>
      </c>
      <c r="H1048" s="26"/>
    </row>
    <row r="1049" spans="1:8" ht="15.75" customHeight="1" x14ac:dyDescent="0.25">
      <c r="A1049" s="32">
        <v>1045</v>
      </c>
      <c r="B1049" s="179"/>
      <c r="C1049" s="179"/>
      <c r="D1049" s="18" t="s">
        <v>1332</v>
      </c>
      <c r="E1049" s="26"/>
      <c r="F1049" s="26"/>
      <c r="G1049" s="26">
        <v>0.5</v>
      </c>
      <c r="H1049" s="26"/>
    </row>
    <row r="1050" spans="1:8" ht="15.75" customHeight="1" x14ac:dyDescent="0.25">
      <c r="A1050" s="32">
        <v>1046</v>
      </c>
      <c r="B1050" s="179"/>
      <c r="C1050" s="179"/>
      <c r="D1050" s="18" t="s">
        <v>1333</v>
      </c>
      <c r="E1050" s="26"/>
      <c r="F1050" s="26"/>
      <c r="G1050" s="26">
        <v>0.5</v>
      </c>
      <c r="H1050" s="26"/>
    </row>
    <row r="1051" spans="1:8" ht="15.75" customHeight="1" x14ac:dyDescent="0.25">
      <c r="A1051" s="32">
        <v>1047</v>
      </c>
      <c r="B1051" s="179"/>
      <c r="C1051" s="179"/>
      <c r="D1051" s="18" t="s">
        <v>1334</v>
      </c>
      <c r="E1051" s="26"/>
      <c r="F1051" s="26"/>
      <c r="G1051" s="26">
        <v>0.75</v>
      </c>
      <c r="H1051" s="26"/>
    </row>
    <row r="1052" spans="1:8" ht="15.75" customHeight="1" x14ac:dyDescent="0.25">
      <c r="A1052" s="32">
        <v>1048</v>
      </c>
      <c r="B1052" s="179"/>
      <c r="C1052" s="179"/>
      <c r="D1052" s="18" t="s">
        <v>1253</v>
      </c>
      <c r="E1052" s="26"/>
      <c r="F1052" s="26"/>
      <c r="G1052" s="26">
        <v>0.5</v>
      </c>
      <c r="H1052" s="26"/>
    </row>
    <row r="1053" spans="1:8" ht="15.75" customHeight="1" x14ac:dyDescent="0.25">
      <c r="A1053" s="32">
        <v>1049</v>
      </c>
      <c r="B1053" s="179"/>
      <c r="C1053" s="179"/>
      <c r="D1053" s="18" t="s">
        <v>1335</v>
      </c>
      <c r="E1053" s="26"/>
      <c r="F1053" s="26"/>
      <c r="G1053" s="26">
        <v>0.75</v>
      </c>
      <c r="H1053" s="26"/>
    </row>
    <row r="1054" spans="1:8" ht="15.75" customHeight="1" x14ac:dyDescent="0.25">
      <c r="A1054" s="32">
        <v>1050</v>
      </c>
      <c r="B1054" s="179"/>
      <c r="C1054" s="179"/>
      <c r="D1054" s="18" t="s">
        <v>1336</v>
      </c>
      <c r="E1054" s="26"/>
      <c r="F1054" s="26"/>
      <c r="G1054" s="26">
        <v>0.5</v>
      </c>
      <c r="H1054" s="26"/>
    </row>
    <row r="1055" spans="1:8" ht="15.75" customHeight="1" x14ac:dyDescent="0.25">
      <c r="A1055" s="32">
        <v>1051</v>
      </c>
      <c r="B1055" s="179"/>
      <c r="C1055" s="179"/>
      <c r="D1055" s="18" t="s">
        <v>1337</v>
      </c>
      <c r="E1055" s="26"/>
      <c r="F1055" s="26"/>
      <c r="G1055" s="26">
        <v>0.5</v>
      </c>
      <c r="H1055" s="26"/>
    </row>
    <row r="1056" spans="1:8" ht="15.75" customHeight="1" x14ac:dyDescent="0.25">
      <c r="A1056" s="32">
        <v>1052</v>
      </c>
      <c r="B1056" s="179"/>
      <c r="C1056" s="179"/>
      <c r="D1056" s="18" t="s">
        <v>1311</v>
      </c>
      <c r="E1056" s="26"/>
      <c r="F1056" s="26"/>
      <c r="G1056" s="26">
        <v>0.5</v>
      </c>
      <c r="H1056" s="26"/>
    </row>
    <row r="1057" spans="1:8" ht="15.75" customHeight="1" x14ac:dyDescent="0.25">
      <c r="A1057" s="32">
        <v>1053</v>
      </c>
      <c r="B1057" s="179"/>
      <c r="C1057" s="179"/>
      <c r="D1057" s="18" t="s">
        <v>1338</v>
      </c>
      <c r="E1057" s="26"/>
      <c r="F1057" s="26"/>
      <c r="G1057" s="26">
        <v>0.5</v>
      </c>
      <c r="H1057" s="26"/>
    </row>
    <row r="1058" spans="1:8" ht="15.75" customHeight="1" x14ac:dyDescent="0.25">
      <c r="A1058" s="32">
        <v>1054</v>
      </c>
      <c r="B1058" s="179"/>
      <c r="C1058" s="179"/>
      <c r="D1058" s="18" t="s">
        <v>1339</v>
      </c>
      <c r="E1058" s="26"/>
      <c r="F1058" s="26"/>
      <c r="G1058" s="26">
        <v>0.5</v>
      </c>
      <c r="H1058" s="26"/>
    </row>
    <row r="1059" spans="1:8" ht="15.75" customHeight="1" x14ac:dyDescent="0.25">
      <c r="A1059" s="32">
        <v>1055</v>
      </c>
      <c r="B1059" s="179"/>
      <c r="C1059" s="179"/>
      <c r="D1059" s="18" t="s">
        <v>1340</v>
      </c>
      <c r="E1059" s="26"/>
      <c r="F1059" s="26"/>
      <c r="G1059" s="26">
        <v>0.4</v>
      </c>
      <c r="H1059" s="26"/>
    </row>
    <row r="1060" spans="1:8" ht="15.75" customHeight="1" x14ac:dyDescent="0.25">
      <c r="A1060" s="32">
        <v>1056</v>
      </c>
      <c r="B1060" s="179"/>
      <c r="C1060" s="179"/>
      <c r="D1060" s="18" t="s">
        <v>1341</v>
      </c>
      <c r="E1060" s="26"/>
      <c r="F1060" s="26"/>
      <c r="G1060" s="26">
        <v>0.5</v>
      </c>
      <c r="H1060" s="26"/>
    </row>
    <row r="1061" spans="1:8" ht="15.75" customHeight="1" x14ac:dyDescent="0.25">
      <c r="A1061" s="32">
        <v>1057</v>
      </c>
      <c r="B1061" s="179"/>
      <c r="C1061" s="179"/>
      <c r="D1061" s="18" t="s">
        <v>1207</v>
      </c>
      <c r="E1061" s="26"/>
      <c r="F1061" s="26"/>
      <c r="G1061" s="26">
        <v>0.5</v>
      </c>
      <c r="H1061" s="26"/>
    </row>
    <row r="1062" spans="1:8" ht="15.75" customHeight="1" x14ac:dyDescent="0.25">
      <c r="A1062" s="32">
        <v>1058</v>
      </c>
      <c r="B1062" s="179"/>
      <c r="C1062" s="179"/>
      <c r="D1062" s="18" t="s">
        <v>1313</v>
      </c>
      <c r="E1062" s="26"/>
      <c r="F1062" s="26"/>
      <c r="G1062" s="26">
        <v>0.5</v>
      </c>
      <c r="H1062" s="26"/>
    </row>
    <row r="1063" spans="1:8" ht="15.75" customHeight="1" x14ac:dyDescent="0.25">
      <c r="A1063" s="32">
        <v>1059</v>
      </c>
      <c r="B1063" s="179"/>
      <c r="C1063" s="179"/>
      <c r="D1063" s="18" t="s">
        <v>1342</v>
      </c>
      <c r="E1063" s="26"/>
      <c r="F1063" s="26"/>
      <c r="G1063" s="26">
        <v>0.5</v>
      </c>
      <c r="H1063" s="26"/>
    </row>
    <row r="1064" spans="1:8" ht="15.75" customHeight="1" x14ac:dyDescent="0.25">
      <c r="A1064" s="32">
        <v>1060</v>
      </c>
      <c r="B1064" s="179"/>
      <c r="C1064" s="179"/>
      <c r="D1064" s="18" t="s">
        <v>1343</v>
      </c>
      <c r="E1064" s="26"/>
      <c r="F1064" s="26"/>
      <c r="G1064" s="26">
        <v>0.5</v>
      </c>
      <c r="H1064" s="26"/>
    </row>
    <row r="1065" spans="1:8" ht="15.75" customHeight="1" x14ac:dyDescent="0.25">
      <c r="A1065" s="32">
        <v>1061</v>
      </c>
      <c r="B1065" s="179"/>
      <c r="C1065" s="179"/>
      <c r="D1065" s="18" t="s">
        <v>1344</v>
      </c>
      <c r="E1065" s="26"/>
      <c r="F1065" s="26"/>
      <c r="G1065" s="26">
        <v>0.5</v>
      </c>
      <c r="H1065" s="26"/>
    </row>
    <row r="1066" spans="1:8" ht="15.75" customHeight="1" x14ac:dyDescent="0.25">
      <c r="A1066" s="32">
        <v>1062</v>
      </c>
      <c r="B1066" s="179"/>
      <c r="C1066" s="179"/>
      <c r="D1066" s="18" t="s">
        <v>1345</v>
      </c>
      <c r="E1066" s="26"/>
      <c r="F1066" s="26"/>
      <c r="G1066" s="26">
        <v>0.5</v>
      </c>
      <c r="H1066" s="26"/>
    </row>
    <row r="1067" spans="1:8" ht="15.75" customHeight="1" x14ac:dyDescent="0.25">
      <c r="A1067" s="32">
        <v>1063</v>
      </c>
      <c r="B1067" s="179"/>
      <c r="C1067" s="179"/>
      <c r="D1067" s="18" t="s">
        <v>1346</v>
      </c>
      <c r="E1067" s="26"/>
      <c r="F1067" s="26"/>
      <c r="G1067" s="26">
        <v>0.5</v>
      </c>
      <c r="H1067" s="26"/>
    </row>
    <row r="1068" spans="1:8" ht="15.75" customHeight="1" x14ac:dyDescent="0.25">
      <c r="A1068" s="32">
        <v>1064</v>
      </c>
      <c r="B1068" s="179"/>
      <c r="C1068" s="179"/>
      <c r="D1068" s="18" t="s">
        <v>1347</v>
      </c>
      <c r="E1068" s="26"/>
      <c r="F1068" s="26"/>
      <c r="G1068" s="26">
        <v>0.5</v>
      </c>
      <c r="H1068" s="26"/>
    </row>
    <row r="1069" spans="1:8" ht="15.75" customHeight="1" x14ac:dyDescent="0.25">
      <c r="A1069" s="32">
        <v>1065</v>
      </c>
      <c r="B1069" s="179"/>
      <c r="C1069" s="180"/>
      <c r="D1069" s="18" t="s">
        <v>1348</v>
      </c>
      <c r="E1069" s="26"/>
      <c r="F1069" s="26"/>
      <c r="G1069" s="26">
        <v>0.5</v>
      </c>
      <c r="H1069" s="26"/>
    </row>
    <row r="1070" spans="1:8" ht="15.75" customHeight="1" x14ac:dyDescent="0.25">
      <c r="A1070" s="32">
        <v>1066</v>
      </c>
      <c r="B1070" s="179"/>
      <c r="C1070" s="178" t="s">
        <v>1092</v>
      </c>
      <c r="D1070" s="18" t="s">
        <v>1315</v>
      </c>
      <c r="E1070" s="26"/>
      <c r="F1070" s="26"/>
      <c r="G1070" s="26">
        <v>0.75</v>
      </c>
      <c r="H1070" s="26"/>
    </row>
    <row r="1071" spans="1:8" ht="15.75" customHeight="1" x14ac:dyDescent="0.25">
      <c r="A1071" s="32">
        <v>1067</v>
      </c>
      <c r="B1071" s="179"/>
      <c r="C1071" s="179"/>
      <c r="D1071" s="18" t="s">
        <v>1349</v>
      </c>
      <c r="E1071" s="26"/>
      <c r="F1071" s="26"/>
      <c r="G1071" s="26">
        <v>0.5</v>
      </c>
      <c r="H1071" s="26"/>
    </row>
    <row r="1072" spans="1:8" ht="15.75" customHeight="1" x14ac:dyDescent="0.25">
      <c r="A1072" s="32">
        <v>1068</v>
      </c>
      <c r="B1072" s="179"/>
      <c r="C1072" s="179"/>
      <c r="D1072" s="18" t="s">
        <v>1350</v>
      </c>
      <c r="E1072" s="26"/>
      <c r="F1072" s="26"/>
      <c r="G1072" s="26">
        <v>1</v>
      </c>
      <c r="H1072" s="26"/>
    </row>
    <row r="1073" spans="1:8" ht="15.75" customHeight="1" x14ac:dyDescent="0.25">
      <c r="A1073" s="32">
        <v>1069</v>
      </c>
      <c r="B1073" s="179"/>
      <c r="C1073" s="179"/>
      <c r="D1073" s="18" t="s">
        <v>1328</v>
      </c>
      <c r="E1073" s="26"/>
      <c r="F1073" s="26"/>
      <c r="G1073" s="26">
        <v>0.5</v>
      </c>
      <c r="H1073" s="26"/>
    </row>
    <row r="1074" spans="1:8" ht="15.75" customHeight="1" x14ac:dyDescent="0.25">
      <c r="A1074" s="32">
        <v>1070</v>
      </c>
      <c r="B1074" s="179"/>
      <c r="C1074" s="179"/>
      <c r="D1074" s="18" t="s">
        <v>1351</v>
      </c>
      <c r="E1074" s="26"/>
      <c r="F1074" s="26"/>
      <c r="G1074" s="26">
        <v>0.5</v>
      </c>
      <c r="H1074" s="26"/>
    </row>
    <row r="1075" spans="1:8" ht="15.75" customHeight="1" x14ac:dyDescent="0.25">
      <c r="A1075" s="32">
        <v>1071</v>
      </c>
      <c r="B1075" s="179"/>
      <c r="C1075" s="179"/>
      <c r="D1075" s="18" t="s">
        <v>1352</v>
      </c>
      <c r="E1075" s="26"/>
      <c r="F1075" s="26"/>
      <c r="G1075" s="26">
        <v>0.75</v>
      </c>
      <c r="H1075" s="26"/>
    </row>
    <row r="1076" spans="1:8" ht="15.75" customHeight="1" x14ac:dyDescent="0.25">
      <c r="A1076" s="32">
        <v>1072</v>
      </c>
      <c r="B1076" s="179"/>
      <c r="C1076" s="179"/>
      <c r="D1076" s="18" t="s">
        <v>1353</v>
      </c>
      <c r="E1076" s="26"/>
      <c r="F1076" s="26"/>
      <c r="G1076" s="26">
        <v>0.85</v>
      </c>
      <c r="H1076" s="26"/>
    </row>
    <row r="1077" spans="1:8" ht="15.75" customHeight="1" x14ac:dyDescent="0.25">
      <c r="A1077" s="32">
        <v>1073</v>
      </c>
      <c r="B1077" s="179"/>
      <c r="C1077" s="179"/>
      <c r="D1077" s="18" t="s">
        <v>1354</v>
      </c>
      <c r="E1077" s="26"/>
      <c r="F1077" s="26"/>
      <c r="G1077" s="26">
        <v>0.5</v>
      </c>
      <c r="H1077" s="26"/>
    </row>
    <row r="1078" spans="1:8" ht="15.75" customHeight="1" x14ac:dyDescent="0.25">
      <c r="A1078" s="32">
        <v>1074</v>
      </c>
      <c r="B1078" s="179"/>
      <c r="C1078" s="179"/>
      <c r="D1078" s="18" t="s">
        <v>1320</v>
      </c>
      <c r="E1078" s="26"/>
      <c r="F1078" s="26"/>
      <c r="G1078" s="26">
        <v>0.75</v>
      </c>
      <c r="H1078" s="26"/>
    </row>
    <row r="1079" spans="1:8" ht="15.75" customHeight="1" x14ac:dyDescent="0.25">
      <c r="A1079" s="32">
        <v>1075</v>
      </c>
      <c r="B1079" s="179"/>
      <c r="C1079" s="179"/>
      <c r="D1079" s="18" t="s">
        <v>1307</v>
      </c>
      <c r="E1079" s="26"/>
      <c r="F1079" s="26"/>
      <c r="G1079" s="26">
        <v>0.75</v>
      </c>
      <c r="H1079" s="26"/>
    </row>
    <row r="1080" spans="1:8" ht="15.75" customHeight="1" x14ac:dyDescent="0.25">
      <c r="A1080" s="32">
        <v>1076</v>
      </c>
      <c r="B1080" s="179"/>
      <c r="C1080" s="179"/>
      <c r="D1080" s="18" t="s">
        <v>1307</v>
      </c>
      <c r="E1080" s="26"/>
      <c r="F1080" s="26"/>
      <c r="G1080" s="26">
        <v>0.5</v>
      </c>
      <c r="H1080" s="26"/>
    </row>
    <row r="1081" spans="1:8" ht="15.75" customHeight="1" x14ac:dyDescent="0.25">
      <c r="A1081" s="32">
        <v>1077</v>
      </c>
      <c r="B1081" s="179"/>
      <c r="C1081" s="179"/>
      <c r="D1081" s="18" t="s">
        <v>1355</v>
      </c>
      <c r="E1081" s="26"/>
      <c r="F1081" s="26"/>
      <c r="G1081" s="26">
        <v>1</v>
      </c>
      <c r="H1081" s="26"/>
    </row>
    <row r="1082" spans="1:8" ht="15.75" customHeight="1" x14ac:dyDescent="0.25">
      <c r="A1082" s="32">
        <v>1078</v>
      </c>
      <c r="B1082" s="179"/>
      <c r="C1082" s="179"/>
      <c r="D1082" s="18" t="s">
        <v>1356</v>
      </c>
      <c r="E1082" s="26"/>
      <c r="F1082" s="26"/>
      <c r="G1082" s="26">
        <v>0.5</v>
      </c>
      <c r="H1082" s="26"/>
    </row>
    <row r="1083" spans="1:8" ht="15.75" customHeight="1" x14ac:dyDescent="0.25">
      <c r="A1083" s="32">
        <v>1079</v>
      </c>
      <c r="B1083" s="179"/>
      <c r="C1083" s="179"/>
      <c r="D1083" s="18" t="s">
        <v>1357</v>
      </c>
      <c r="E1083" s="26"/>
      <c r="F1083" s="26"/>
      <c r="G1083" s="26">
        <v>0.75</v>
      </c>
      <c r="H1083" s="26"/>
    </row>
    <row r="1084" spans="1:8" ht="15.75" customHeight="1" x14ac:dyDescent="0.25">
      <c r="A1084" s="32">
        <v>1080</v>
      </c>
      <c r="B1084" s="179"/>
      <c r="C1084" s="179"/>
      <c r="D1084" s="18" t="s">
        <v>1358</v>
      </c>
      <c r="E1084" s="26"/>
      <c r="F1084" s="26"/>
      <c r="G1084" s="26">
        <v>0.85</v>
      </c>
      <c r="H1084" s="26"/>
    </row>
    <row r="1085" spans="1:8" ht="15.75" customHeight="1" x14ac:dyDescent="0.25">
      <c r="A1085" s="32">
        <v>1081</v>
      </c>
      <c r="B1085" s="179"/>
      <c r="C1085" s="179"/>
      <c r="D1085" s="18" t="s">
        <v>1337</v>
      </c>
      <c r="E1085" s="26"/>
      <c r="F1085" s="26"/>
      <c r="G1085" s="26">
        <v>0.75</v>
      </c>
      <c r="H1085" s="26"/>
    </row>
    <row r="1086" spans="1:8" ht="15.75" customHeight="1" x14ac:dyDescent="0.25">
      <c r="A1086" s="32">
        <v>1082</v>
      </c>
      <c r="B1086" s="179"/>
      <c r="C1086" s="179"/>
      <c r="D1086" s="18" t="s">
        <v>1359</v>
      </c>
      <c r="E1086" s="26"/>
      <c r="F1086" s="26"/>
      <c r="G1086" s="26">
        <v>0.5</v>
      </c>
      <c r="H1086" s="26"/>
    </row>
    <row r="1087" spans="1:8" ht="15.75" customHeight="1" x14ac:dyDescent="0.25">
      <c r="A1087" s="32">
        <v>1083</v>
      </c>
      <c r="B1087" s="179"/>
      <c r="C1087" s="179"/>
      <c r="D1087" s="18" t="s">
        <v>1360</v>
      </c>
      <c r="E1087" s="26"/>
      <c r="F1087" s="26"/>
      <c r="G1087" s="26">
        <v>0.75</v>
      </c>
      <c r="H1087" s="26"/>
    </row>
    <row r="1088" spans="1:8" ht="15.75" customHeight="1" x14ac:dyDescent="0.25">
      <c r="A1088" s="32">
        <v>1084</v>
      </c>
      <c r="B1088" s="179"/>
      <c r="C1088" s="179"/>
      <c r="D1088" s="18" t="s">
        <v>1312</v>
      </c>
      <c r="E1088" s="26"/>
      <c r="F1088" s="26"/>
      <c r="G1088" s="26">
        <v>0.75</v>
      </c>
      <c r="H1088" s="26"/>
    </row>
    <row r="1089" spans="1:8" ht="15.75" customHeight="1" x14ac:dyDescent="0.25">
      <c r="A1089" s="32">
        <v>1085</v>
      </c>
      <c r="B1089" s="179"/>
      <c r="C1089" s="179"/>
      <c r="D1089" s="18" t="s">
        <v>1361</v>
      </c>
      <c r="E1089" s="26"/>
      <c r="F1089" s="26"/>
      <c r="G1089" s="26">
        <v>0.5</v>
      </c>
      <c r="H1089" s="26"/>
    </row>
    <row r="1090" spans="1:8" ht="15.75" customHeight="1" x14ac:dyDescent="0.25">
      <c r="A1090" s="32">
        <v>1086</v>
      </c>
      <c r="B1090" s="179"/>
      <c r="C1090" s="179"/>
      <c r="D1090" s="18" t="s">
        <v>1362</v>
      </c>
      <c r="E1090" s="26"/>
      <c r="F1090" s="26"/>
      <c r="G1090" s="26">
        <v>0.75</v>
      </c>
      <c r="H1090" s="26"/>
    </row>
    <row r="1091" spans="1:8" ht="15.75" customHeight="1" x14ac:dyDescent="0.25">
      <c r="A1091" s="32">
        <v>1087</v>
      </c>
      <c r="B1091" s="179"/>
      <c r="C1091" s="179"/>
      <c r="D1091" s="18" t="s">
        <v>1206</v>
      </c>
      <c r="E1091" s="26"/>
      <c r="F1091" s="26"/>
      <c r="G1091" s="26">
        <v>0.75</v>
      </c>
      <c r="H1091" s="26"/>
    </row>
    <row r="1092" spans="1:8" ht="15.75" customHeight="1" x14ac:dyDescent="0.25">
      <c r="A1092" s="32">
        <v>1088</v>
      </c>
      <c r="B1092" s="179"/>
      <c r="C1092" s="179"/>
      <c r="D1092" s="18" t="s">
        <v>1363</v>
      </c>
      <c r="E1092" s="26"/>
      <c r="F1092" s="26"/>
      <c r="G1092" s="26">
        <v>1</v>
      </c>
      <c r="H1092" s="26"/>
    </row>
    <row r="1093" spans="1:8" ht="15.75" customHeight="1" x14ac:dyDescent="0.25">
      <c r="A1093" s="32">
        <v>1089</v>
      </c>
      <c r="B1093" s="180"/>
      <c r="C1093" s="180"/>
      <c r="D1093" s="18" t="s">
        <v>1364</v>
      </c>
      <c r="E1093" s="26"/>
      <c r="F1093" s="26"/>
      <c r="G1093" s="26">
        <v>0.75</v>
      </c>
      <c r="H1093" s="26"/>
    </row>
    <row r="1094" spans="1:8" ht="15.75" customHeight="1" x14ac:dyDescent="0.25">
      <c r="A1094" s="32">
        <v>1090</v>
      </c>
      <c r="B1094" s="178" t="s">
        <v>80</v>
      </c>
      <c r="C1094" s="178" t="s">
        <v>163</v>
      </c>
      <c r="D1094" s="18" t="s">
        <v>1365</v>
      </c>
      <c r="E1094" s="26"/>
      <c r="F1094" s="26"/>
      <c r="G1094" s="26">
        <v>0.5</v>
      </c>
      <c r="H1094" s="26"/>
    </row>
    <row r="1095" spans="1:8" ht="15.75" customHeight="1" x14ac:dyDescent="0.25">
      <c r="A1095" s="32">
        <v>1091</v>
      </c>
      <c r="B1095" s="179"/>
      <c r="C1095" s="179"/>
      <c r="D1095" s="18" t="s">
        <v>1042</v>
      </c>
      <c r="E1095" s="26"/>
      <c r="F1095" s="26"/>
      <c r="G1095" s="26">
        <v>0.1</v>
      </c>
      <c r="H1095" s="26"/>
    </row>
    <row r="1096" spans="1:8" ht="15.75" customHeight="1" x14ac:dyDescent="0.25">
      <c r="A1096" s="32">
        <v>1092</v>
      </c>
      <c r="B1096" s="179"/>
      <c r="C1096" s="179"/>
      <c r="D1096" s="18" t="s">
        <v>1366</v>
      </c>
      <c r="E1096" s="26"/>
      <c r="F1096" s="26"/>
      <c r="G1096" s="26">
        <v>0.25</v>
      </c>
      <c r="H1096" s="26"/>
    </row>
    <row r="1097" spans="1:8" ht="15.75" customHeight="1" x14ac:dyDescent="0.25">
      <c r="A1097" s="32">
        <v>1093</v>
      </c>
      <c r="B1097" s="179"/>
      <c r="C1097" s="179"/>
      <c r="D1097" s="18" t="s">
        <v>1367</v>
      </c>
      <c r="E1097" s="26"/>
      <c r="F1097" s="26"/>
      <c r="G1097" s="26">
        <v>0.5</v>
      </c>
      <c r="H1097" s="26"/>
    </row>
    <row r="1098" spans="1:8" ht="15.75" customHeight="1" x14ac:dyDescent="0.25">
      <c r="A1098" s="32">
        <v>1094</v>
      </c>
      <c r="B1098" s="179"/>
      <c r="C1098" s="179"/>
      <c r="D1098" s="18" t="s">
        <v>1368</v>
      </c>
      <c r="E1098" s="26"/>
      <c r="F1098" s="26"/>
      <c r="G1098" s="26">
        <v>0.15</v>
      </c>
      <c r="H1098" s="26"/>
    </row>
    <row r="1099" spans="1:8" ht="15.75" customHeight="1" x14ac:dyDescent="0.25">
      <c r="A1099" s="32">
        <v>1095</v>
      </c>
      <c r="B1099" s="179"/>
      <c r="C1099" s="179"/>
      <c r="D1099" s="18" t="s">
        <v>1369</v>
      </c>
      <c r="E1099" s="26"/>
      <c r="F1099" s="26"/>
      <c r="G1099" s="26">
        <v>0.25</v>
      </c>
      <c r="H1099" s="26"/>
    </row>
    <row r="1100" spans="1:8" ht="15.75" customHeight="1" x14ac:dyDescent="0.25">
      <c r="A1100" s="32">
        <v>1096</v>
      </c>
      <c r="B1100" s="179"/>
      <c r="C1100" s="179"/>
      <c r="D1100" s="18" t="s">
        <v>1370</v>
      </c>
      <c r="E1100" s="26"/>
      <c r="F1100" s="26"/>
      <c r="G1100" s="26">
        <v>0.25</v>
      </c>
      <c r="H1100" s="26"/>
    </row>
    <row r="1101" spans="1:8" ht="15.75" customHeight="1" x14ac:dyDescent="0.25">
      <c r="A1101" s="32">
        <v>1097</v>
      </c>
      <c r="B1101" s="179"/>
      <c r="C1101" s="179"/>
      <c r="D1101" s="18" t="s">
        <v>1371</v>
      </c>
      <c r="E1101" s="26"/>
      <c r="F1101" s="26"/>
      <c r="G1101" s="26">
        <v>0.2</v>
      </c>
      <c r="H1101" s="26"/>
    </row>
    <row r="1102" spans="1:8" ht="15.75" customHeight="1" x14ac:dyDescent="0.25">
      <c r="A1102" s="32">
        <v>1098</v>
      </c>
      <c r="B1102" s="179"/>
      <c r="C1102" s="179"/>
      <c r="D1102" s="18" t="s">
        <v>1372</v>
      </c>
      <c r="E1102" s="26"/>
      <c r="F1102" s="26"/>
      <c r="G1102" s="26">
        <v>0.25</v>
      </c>
      <c r="H1102" s="26"/>
    </row>
    <row r="1103" spans="1:8" ht="15.75" customHeight="1" x14ac:dyDescent="0.25">
      <c r="A1103" s="32">
        <v>1099</v>
      </c>
      <c r="B1103" s="179"/>
      <c r="C1103" s="179"/>
      <c r="D1103" s="18" t="s">
        <v>1373</v>
      </c>
      <c r="E1103" s="26"/>
      <c r="F1103" s="26"/>
      <c r="G1103" s="26">
        <v>0.25</v>
      </c>
      <c r="H1103" s="26"/>
    </row>
    <row r="1104" spans="1:8" ht="15.75" customHeight="1" x14ac:dyDescent="0.25">
      <c r="A1104" s="32">
        <v>1100</v>
      </c>
      <c r="B1104" s="179"/>
      <c r="C1104" s="179"/>
      <c r="D1104" s="18" t="s">
        <v>1374</v>
      </c>
      <c r="E1104" s="26"/>
      <c r="F1104" s="26"/>
      <c r="G1104" s="26">
        <v>0.5</v>
      </c>
      <c r="H1104" s="26"/>
    </row>
    <row r="1105" spans="1:8" ht="15.75" customHeight="1" x14ac:dyDescent="0.25">
      <c r="A1105" s="32">
        <v>1101</v>
      </c>
      <c r="B1105" s="179"/>
      <c r="C1105" s="179"/>
      <c r="D1105" s="18" t="s">
        <v>1375</v>
      </c>
      <c r="E1105" s="26"/>
      <c r="F1105" s="26"/>
      <c r="G1105" s="26">
        <v>0.2</v>
      </c>
      <c r="H1105" s="26"/>
    </row>
    <row r="1106" spans="1:8" ht="15.75" customHeight="1" x14ac:dyDescent="0.25">
      <c r="A1106" s="32">
        <v>1102</v>
      </c>
      <c r="B1106" s="179"/>
      <c r="C1106" s="179"/>
      <c r="D1106" s="18" t="s">
        <v>1376</v>
      </c>
      <c r="E1106" s="26"/>
      <c r="F1106" s="26"/>
      <c r="G1106" s="26">
        <v>0.5</v>
      </c>
      <c r="H1106" s="26"/>
    </row>
    <row r="1107" spans="1:8" ht="15.75" customHeight="1" x14ac:dyDescent="0.25">
      <c r="A1107" s="32">
        <v>1103</v>
      </c>
      <c r="B1107" s="179"/>
      <c r="C1107" s="179"/>
      <c r="D1107" s="18" t="s">
        <v>1377</v>
      </c>
      <c r="E1107" s="26"/>
      <c r="F1107" s="26"/>
      <c r="G1107" s="26">
        <v>0.15</v>
      </c>
      <c r="H1107" s="26"/>
    </row>
    <row r="1108" spans="1:8" ht="15.75" customHeight="1" x14ac:dyDescent="0.25">
      <c r="A1108" s="32">
        <v>1104</v>
      </c>
      <c r="B1108" s="179"/>
      <c r="C1108" s="179"/>
      <c r="D1108" s="18" t="s">
        <v>1378</v>
      </c>
      <c r="E1108" s="26"/>
      <c r="F1108" s="26"/>
      <c r="G1108" s="26">
        <v>0.25</v>
      </c>
      <c r="H1108" s="26"/>
    </row>
    <row r="1109" spans="1:8" ht="15.75" customHeight="1" x14ac:dyDescent="0.25">
      <c r="A1109" s="32">
        <v>1105</v>
      </c>
      <c r="B1109" s="180"/>
      <c r="C1109" s="180"/>
      <c r="D1109" s="18" t="s">
        <v>1379</v>
      </c>
      <c r="E1109" s="26"/>
      <c r="F1109" s="26"/>
      <c r="G1109" s="26">
        <v>0.25</v>
      </c>
      <c r="H1109" s="26"/>
    </row>
    <row r="1110" spans="1:8" ht="15.75" customHeight="1" x14ac:dyDescent="0.25">
      <c r="A1110" s="32">
        <v>1106</v>
      </c>
      <c r="B1110" s="175" t="s">
        <v>109</v>
      </c>
      <c r="C1110" s="175" t="s">
        <v>1380</v>
      </c>
      <c r="D1110" s="37" t="s">
        <v>1381</v>
      </c>
      <c r="E1110" s="26">
        <v>46</v>
      </c>
      <c r="F1110" s="26">
        <v>0.20499999999999999</v>
      </c>
      <c r="G1110" s="26">
        <v>0.20499999999999999</v>
      </c>
      <c r="H1110" s="45"/>
    </row>
    <row r="1111" spans="1:8" ht="15.75" customHeight="1" x14ac:dyDescent="0.25">
      <c r="A1111" s="32">
        <v>1107</v>
      </c>
      <c r="B1111" s="176"/>
      <c r="C1111" s="176"/>
      <c r="D1111" s="38" t="s">
        <v>1382</v>
      </c>
      <c r="E1111" s="26">
        <v>60</v>
      </c>
      <c r="F1111" s="26">
        <v>0.19</v>
      </c>
      <c r="G1111" s="26">
        <v>0.19</v>
      </c>
      <c r="H1111" s="45"/>
    </row>
    <row r="1112" spans="1:8" ht="15.75" customHeight="1" x14ac:dyDescent="0.25">
      <c r="A1112" s="32">
        <v>1108</v>
      </c>
      <c r="B1112" s="176"/>
      <c r="C1112" s="176"/>
      <c r="D1112" s="38" t="s">
        <v>1383</v>
      </c>
      <c r="E1112" s="26">
        <v>67</v>
      </c>
      <c r="F1112" s="26">
        <v>0.70399999999999996</v>
      </c>
      <c r="G1112" s="26">
        <v>0.70399999999999996</v>
      </c>
      <c r="H1112" s="45"/>
    </row>
    <row r="1113" spans="1:8" ht="15.75" customHeight="1" x14ac:dyDescent="0.25">
      <c r="A1113" s="32">
        <v>1109</v>
      </c>
      <c r="B1113" s="176"/>
      <c r="C1113" s="176"/>
      <c r="D1113" s="38" t="s">
        <v>1384</v>
      </c>
      <c r="E1113" s="26">
        <v>44</v>
      </c>
      <c r="F1113" s="26">
        <v>0.34</v>
      </c>
      <c r="G1113" s="26">
        <v>0.34</v>
      </c>
      <c r="H1113" s="45"/>
    </row>
    <row r="1114" spans="1:8" ht="15.75" customHeight="1" x14ac:dyDescent="0.25">
      <c r="A1114" s="32">
        <v>1110</v>
      </c>
      <c r="B1114" s="176"/>
      <c r="C1114" s="176"/>
      <c r="D1114" s="38" t="s">
        <v>1385</v>
      </c>
      <c r="E1114" s="26">
        <v>41</v>
      </c>
      <c r="F1114" s="26">
        <v>0.221</v>
      </c>
      <c r="G1114" s="26">
        <v>0.221</v>
      </c>
      <c r="H1114" s="45"/>
    </row>
    <row r="1115" spans="1:8" ht="15.75" customHeight="1" x14ac:dyDescent="0.25">
      <c r="A1115" s="32">
        <v>1111</v>
      </c>
      <c r="B1115" s="176"/>
      <c r="C1115" s="176"/>
      <c r="D1115" s="38" t="s">
        <v>745</v>
      </c>
      <c r="E1115" s="26">
        <v>52</v>
      </c>
      <c r="F1115" s="45"/>
      <c r="G1115" s="26">
        <v>0.30199999999999999</v>
      </c>
      <c r="H1115" s="45"/>
    </row>
    <row r="1116" spans="1:8" ht="15.75" customHeight="1" x14ac:dyDescent="0.25">
      <c r="A1116" s="32">
        <v>1112</v>
      </c>
      <c r="B1116" s="176"/>
      <c r="C1116" s="176"/>
      <c r="D1116" s="38" t="s">
        <v>1386</v>
      </c>
      <c r="E1116" s="26">
        <v>67</v>
      </c>
      <c r="F1116" s="26">
        <v>0.26</v>
      </c>
      <c r="G1116" s="26">
        <v>0.26</v>
      </c>
      <c r="H1116" s="45"/>
    </row>
    <row r="1117" spans="1:8" ht="15.75" customHeight="1" x14ac:dyDescent="0.25">
      <c r="A1117" s="32">
        <v>1113</v>
      </c>
      <c r="B1117" s="176"/>
      <c r="C1117" s="176"/>
      <c r="D1117" s="38" t="s">
        <v>1387</v>
      </c>
      <c r="E1117" s="26">
        <v>61</v>
      </c>
      <c r="F1117" s="26">
        <v>0.32100000000000001</v>
      </c>
      <c r="G1117" s="26">
        <v>0.32100000000000001</v>
      </c>
      <c r="H1117" s="45"/>
    </row>
    <row r="1118" spans="1:8" ht="15.75" customHeight="1" x14ac:dyDescent="0.25">
      <c r="A1118" s="32">
        <v>1114</v>
      </c>
      <c r="B1118" s="176"/>
      <c r="C1118" s="176"/>
      <c r="D1118" s="38" t="s">
        <v>1388</v>
      </c>
      <c r="E1118" s="26">
        <v>75</v>
      </c>
      <c r="F1118" s="26">
        <v>0.158</v>
      </c>
      <c r="G1118" s="26">
        <v>0.158</v>
      </c>
      <c r="H1118" s="45"/>
    </row>
    <row r="1119" spans="1:8" ht="15.75" customHeight="1" x14ac:dyDescent="0.25">
      <c r="A1119" s="32">
        <v>1115</v>
      </c>
      <c r="B1119" s="176"/>
      <c r="C1119" s="176"/>
      <c r="D1119" s="38" t="s">
        <v>1389</v>
      </c>
      <c r="E1119" s="26">
        <v>47</v>
      </c>
      <c r="F1119" s="45"/>
      <c r="G1119" s="26">
        <v>0.315</v>
      </c>
      <c r="H1119" s="45"/>
    </row>
    <row r="1120" spans="1:8" ht="15.75" customHeight="1" x14ac:dyDescent="0.25">
      <c r="A1120" s="32">
        <v>1116</v>
      </c>
      <c r="B1120" s="176"/>
      <c r="C1120" s="176"/>
      <c r="D1120" s="38" t="s">
        <v>1390</v>
      </c>
      <c r="E1120" s="26">
        <v>70</v>
      </c>
      <c r="F1120" s="26">
        <v>0.29899999999999999</v>
      </c>
      <c r="G1120" s="26">
        <v>0.29899999999999999</v>
      </c>
      <c r="H1120" s="45"/>
    </row>
    <row r="1121" spans="1:8" ht="15.75" customHeight="1" x14ac:dyDescent="0.25">
      <c r="A1121" s="32">
        <v>1117</v>
      </c>
      <c r="B1121" s="176"/>
      <c r="C1121" s="176"/>
      <c r="D1121" s="38" t="s">
        <v>1391</v>
      </c>
      <c r="E1121" s="26">
        <v>65</v>
      </c>
      <c r="F1121" s="26">
        <v>0.49299999999999999</v>
      </c>
      <c r="G1121" s="26">
        <v>0.49299999999999999</v>
      </c>
      <c r="H1121" s="45"/>
    </row>
    <row r="1122" spans="1:8" ht="15.75" customHeight="1" x14ac:dyDescent="0.25">
      <c r="A1122" s="32">
        <v>1118</v>
      </c>
      <c r="B1122" s="176"/>
      <c r="C1122" s="176"/>
      <c r="D1122" s="38" t="s">
        <v>1392</v>
      </c>
      <c r="E1122" s="26">
        <v>64</v>
      </c>
      <c r="F1122" s="45"/>
      <c r="G1122" s="26">
        <v>0.14599999999999999</v>
      </c>
      <c r="H1122" s="45"/>
    </row>
    <row r="1123" spans="1:8" ht="15.75" customHeight="1" x14ac:dyDescent="0.25">
      <c r="A1123" s="32">
        <v>1119</v>
      </c>
      <c r="B1123" s="176"/>
      <c r="C1123" s="176"/>
      <c r="D1123" s="38" t="s">
        <v>1393</v>
      </c>
      <c r="E1123" s="26">
        <v>58</v>
      </c>
      <c r="F1123" s="26">
        <v>0.26200000000000001</v>
      </c>
      <c r="G1123" s="26">
        <v>0.26200000000000001</v>
      </c>
      <c r="H1123" s="45"/>
    </row>
    <row r="1124" spans="1:8" ht="15.75" customHeight="1" x14ac:dyDescent="0.25">
      <c r="A1124" s="32">
        <v>1120</v>
      </c>
      <c r="B1124" s="176"/>
      <c r="C1124" s="176"/>
      <c r="D1124" s="38" t="s">
        <v>1394</v>
      </c>
      <c r="E1124" s="26">
        <v>53</v>
      </c>
      <c r="F1124" s="26">
        <v>0.109</v>
      </c>
      <c r="G1124" s="26">
        <v>0.109</v>
      </c>
      <c r="H1124" s="45"/>
    </row>
    <row r="1125" spans="1:8" ht="15.75" customHeight="1" x14ac:dyDescent="0.25">
      <c r="A1125" s="32">
        <v>1121</v>
      </c>
      <c r="B1125" s="176"/>
      <c r="C1125" s="176"/>
      <c r="D1125" s="38" t="s">
        <v>1395</v>
      </c>
      <c r="E1125" s="26">
        <v>48</v>
      </c>
      <c r="F1125" s="45"/>
      <c r="G1125" s="26">
        <v>0.15</v>
      </c>
      <c r="H1125" s="45"/>
    </row>
    <row r="1126" spans="1:8" ht="15.75" customHeight="1" x14ac:dyDescent="0.25">
      <c r="A1126" s="32">
        <v>1122</v>
      </c>
      <c r="B1126" s="176"/>
      <c r="C1126" s="176"/>
      <c r="D1126" s="38" t="s">
        <v>1396</v>
      </c>
      <c r="E1126" s="26">
        <v>45</v>
      </c>
      <c r="F1126" s="45"/>
      <c r="G1126" s="26">
        <v>0.187</v>
      </c>
      <c r="H1126" s="45"/>
    </row>
    <row r="1127" spans="1:8" ht="15.75" customHeight="1" x14ac:dyDescent="0.25">
      <c r="A1127" s="32">
        <v>1123</v>
      </c>
      <c r="B1127" s="176"/>
      <c r="C1127" s="176"/>
      <c r="D1127" s="38" t="s">
        <v>1397</v>
      </c>
      <c r="E1127" s="26">
        <v>52</v>
      </c>
      <c r="F1127" s="45"/>
      <c r="G1127" s="26">
        <v>0.434</v>
      </c>
      <c r="H1127" s="45"/>
    </row>
    <row r="1128" spans="1:8" ht="15.75" customHeight="1" x14ac:dyDescent="0.25">
      <c r="A1128" s="32">
        <v>1124</v>
      </c>
      <c r="B1128" s="177"/>
      <c r="C1128" s="177"/>
      <c r="D1128" s="38" t="s">
        <v>1398</v>
      </c>
      <c r="E1128" s="26">
        <v>51</v>
      </c>
      <c r="F1128" s="26">
        <v>8.1000000000000003E-2</v>
      </c>
      <c r="G1128" s="26">
        <v>8.1000000000000003E-2</v>
      </c>
      <c r="H1128" s="45"/>
    </row>
    <row r="1129" spans="1:8" ht="15.75" customHeight="1" x14ac:dyDescent="0.25">
      <c r="A1129" s="32">
        <v>1125</v>
      </c>
      <c r="B1129" s="175" t="s">
        <v>109</v>
      </c>
      <c r="C1129" s="175" t="s">
        <v>1082</v>
      </c>
      <c r="D1129" s="18" t="s">
        <v>1399</v>
      </c>
      <c r="E1129" s="26">
        <v>47</v>
      </c>
      <c r="F1129" s="45"/>
      <c r="G1129" s="26">
        <v>0.28999999999999998</v>
      </c>
      <c r="H1129" s="45"/>
    </row>
    <row r="1130" spans="1:8" ht="15.75" customHeight="1" x14ac:dyDescent="0.25">
      <c r="A1130" s="32">
        <v>1126</v>
      </c>
      <c r="B1130" s="176"/>
      <c r="C1130" s="176"/>
      <c r="D1130" s="18" t="s">
        <v>1400</v>
      </c>
      <c r="E1130" s="26">
        <v>27</v>
      </c>
      <c r="F1130" s="45"/>
      <c r="G1130" s="26">
        <v>0.14000000000000001</v>
      </c>
      <c r="H1130" s="45"/>
    </row>
    <row r="1131" spans="1:8" ht="15.75" customHeight="1" x14ac:dyDescent="0.25">
      <c r="A1131" s="32">
        <v>1127</v>
      </c>
      <c r="B1131" s="176"/>
      <c r="C1131" s="176"/>
      <c r="D1131" s="18" t="s">
        <v>1401</v>
      </c>
      <c r="E1131" s="26">
        <v>70</v>
      </c>
      <c r="F1131" s="26">
        <v>0.35</v>
      </c>
      <c r="G1131" s="26">
        <v>0.35</v>
      </c>
      <c r="H1131" s="45"/>
    </row>
    <row r="1132" spans="1:8" ht="15.75" customHeight="1" x14ac:dyDescent="0.25">
      <c r="A1132" s="32">
        <v>1128</v>
      </c>
      <c r="B1132" s="176"/>
      <c r="C1132" s="176"/>
      <c r="D1132" s="18" t="s">
        <v>1402</v>
      </c>
      <c r="E1132" s="26">
        <v>54</v>
      </c>
      <c r="F1132" s="26">
        <v>0.13</v>
      </c>
      <c r="G1132" s="26">
        <v>0.13</v>
      </c>
      <c r="H1132" s="45"/>
    </row>
    <row r="1133" spans="1:8" ht="15.75" customHeight="1" x14ac:dyDescent="0.25">
      <c r="A1133" s="32">
        <v>1129</v>
      </c>
      <c r="B1133" s="176"/>
      <c r="C1133" s="176"/>
      <c r="D1133" s="18" t="s">
        <v>1403</v>
      </c>
      <c r="E1133" s="26">
        <v>52</v>
      </c>
      <c r="F1133" s="26">
        <v>0.44</v>
      </c>
      <c r="G1133" s="26">
        <v>0.44</v>
      </c>
      <c r="H1133" s="45"/>
    </row>
    <row r="1134" spans="1:8" ht="15.75" customHeight="1" x14ac:dyDescent="0.25">
      <c r="A1134" s="32">
        <v>1130</v>
      </c>
      <c r="B1134" s="176"/>
      <c r="C1134" s="176"/>
      <c r="D1134" s="18" t="s">
        <v>1036</v>
      </c>
      <c r="E1134" s="26">
        <v>49</v>
      </c>
      <c r="F1134" s="26">
        <v>0.11</v>
      </c>
      <c r="G1134" s="26">
        <v>0.11</v>
      </c>
      <c r="H1134" s="45"/>
    </row>
    <row r="1135" spans="1:8" ht="15.75" customHeight="1" x14ac:dyDescent="0.25">
      <c r="A1135" s="32">
        <v>1131</v>
      </c>
      <c r="B1135" s="176"/>
      <c r="C1135" s="176"/>
      <c r="D1135" s="18" t="s">
        <v>1404</v>
      </c>
      <c r="E1135" s="26">
        <v>42</v>
      </c>
      <c r="F1135" s="26">
        <v>0.27</v>
      </c>
      <c r="G1135" s="26">
        <v>0.27</v>
      </c>
      <c r="H1135" s="45"/>
    </row>
    <row r="1136" spans="1:8" ht="15.75" customHeight="1" x14ac:dyDescent="0.25">
      <c r="A1136" s="32">
        <v>1132</v>
      </c>
      <c r="B1136" s="176"/>
      <c r="C1136" s="176"/>
      <c r="D1136" s="18" t="s">
        <v>1405</v>
      </c>
      <c r="E1136" s="26">
        <v>51</v>
      </c>
      <c r="F1136" s="45"/>
      <c r="G1136" s="26">
        <v>0.15</v>
      </c>
      <c r="H1136" s="45"/>
    </row>
    <row r="1137" spans="1:8" ht="15.75" customHeight="1" x14ac:dyDescent="0.25">
      <c r="A1137" s="32">
        <v>1133</v>
      </c>
      <c r="B1137" s="176"/>
      <c r="C1137" s="176"/>
      <c r="D1137" s="18" t="s">
        <v>1406</v>
      </c>
      <c r="E1137" s="26">
        <v>60</v>
      </c>
      <c r="F1137" s="45"/>
      <c r="G1137" s="26">
        <v>0.56000000000000005</v>
      </c>
      <c r="H1137" s="45"/>
    </row>
    <row r="1138" spans="1:8" ht="15.75" customHeight="1" x14ac:dyDescent="0.25">
      <c r="A1138" s="32">
        <v>1134</v>
      </c>
      <c r="B1138" s="176"/>
      <c r="C1138" s="176"/>
      <c r="D1138" s="18" t="s">
        <v>1407</v>
      </c>
      <c r="E1138" s="26">
        <v>66</v>
      </c>
      <c r="F1138" s="45"/>
      <c r="G1138" s="26">
        <v>0.1</v>
      </c>
      <c r="H1138" s="45"/>
    </row>
    <row r="1139" spans="1:8" ht="15.75" customHeight="1" x14ac:dyDescent="0.25">
      <c r="A1139" s="32">
        <v>1135</v>
      </c>
      <c r="B1139" s="176"/>
      <c r="C1139" s="176"/>
      <c r="D1139" s="18" t="s">
        <v>1408</v>
      </c>
      <c r="E1139" s="26">
        <v>57</v>
      </c>
      <c r="F1139" s="26">
        <v>0.19</v>
      </c>
      <c r="G1139" s="26">
        <v>0.19</v>
      </c>
      <c r="H1139" s="45"/>
    </row>
    <row r="1140" spans="1:8" ht="15.75" customHeight="1" x14ac:dyDescent="0.25">
      <c r="A1140" s="32">
        <v>1136</v>
      </c>
      <c r="B1140" s="176"/>
      <c r="C1140" s="176"/>
      <c r="D1140" s="18" t="s">
        <v>1409</v>
      </c>
      <c r="E1140" s="26">
        <v>47</v>
      </c>
      <c r="F1140" s="26">
        <v>0.18</v>
      </c>
      <c r="G1140" s="26">
        <v>0.18</v>
      </c>
      <c r="H1140" s="45"/>
    </row>
    <row r="1141" spans="1:8" ht="15.75" customHeight="1" x14ac:dyDescent="0.25">
      <c r="A1141" s="32">
        <v>1137</v>
      </c>
      <c r="B1141" s="176"/>
      <c r="C1141" s="176"/>
      <c r="D1141" s="18" t="s">
        <v>1410</v>
      </c>
      <c r="E1141" s="26">
        <v>68</v>
      </c>
      <c r="F1141" s="45"/>
      <c r="G1141" s="26">
        <v>0.17</v>
      </c>
      <c r="H1141" s="45"/>
    </row>
    <row r="1142" spans="1:8" ht="15.75" customHeight="1" x14ac:dyDescent="0.25">
      <c r="A1142" s="32">
        <v>1138</v>
      </c>
      <c r="B1142" s="176"/>
      <c r="C1142" s="176"/>
      <c r="D1142" s="18" t="s">
        <v>1411</v>
      </c>
      <c r="E1142" s="26">
        <v>56</v>
      </c>
      <c r="F1142" s="26">
        <v>0.4</v>
      </c>
      <c r="G1142" s="26">
        <v>0.4</v>
      </c>
      <c r="H1142" s="45"/>
    </row>
    <row r="1143" spans="1:8" ht="15.75" customHeight="1" x14ac:dyDescent="0.25">
      <c r="A1143" s="32">
        <v>1139</v>
      </c>
      <c r="B1143" s="176"/>
      <c r="C1143" s="176"/>
      <c r="D1143" s="18" t="s">
        <v>1412</v>
      </c>
      <c r="E1143" s="26">
        <v>53</v>
      </c>
      <c r="F1143" s="45"/>
      <c r="G1143" s="26">
        <v>0.31</v>
      </c>
      <c r="H1143" s="45"/>
    </row>
    <row r="1144" spans="1:8" ht="15.75" customHeight="1" x14ac:dyDescent="0.25">
      <c r="A1144" s="32">
        <v>1140</v>
      </c>
      <c r="B1144" s="176"/>
      <c r="C1144" s="176"/>
      <c r="D1144" s="18" t="s">
        <v>1413</v>
      </c>
      <c r="E1144" s="26">
        <v>49</v>
      </c>
      <c r="F1144" s="26">
        <v>0.3</v>
      </c>
      <c r="G1144" s="26">
        <v>0.3</v>
      </c>
      <c r="H1144" s="45"/>
    </row>
    <row r="1145" spans="1:8" ht="15.75" customHeight="1" x14ac:dyDescent="0.25">
      <c r="A1145" s="32">
        <v>1141</v>
      </c>
      <c r="B1145" s="176"/>
      <c r="C1145" s="176"/>
      <c r="D1145" s="18" t="s">
        <v>1414</v>
      </c>
      <c r="E1145" s="26">
        <v>44</v>
      </c>
      <c r="F1145" s="26">
        <v>0.11</v>
      </c>
      <c r="G1145" s="26">
        <v>0.11</v>
      </c>
      <c r="H1145" s="45"/>
    </row>
    <row r="1146" spans="1:8" ht="15.75" customHeight="1" x14ac:dyDescent="0.25">
      <c r="A1146" s="32">
        <v>1142</v>
      </c>
      <c r="B1146" s="176"/>
      <c r="C1146" s="176"/>
      <c r="D1146" s="18" t="s">
        <v>1415</v>
      </c>
      <c r="E1146" s="26">
        <v>46</v>
      </c>
      <c r="F1146" s="26">
        <v>0.11</v>
      </c>
      <c r="G1146" s="26">
        <v>0.11</v>
      </c>
      <c r="H1146" s="45"/>
    </row>
    <row r="1147" spans="1:8" ht="15.75" customHeight="1" x14ac:dyDescent="0.25">
      <c r="A1147" s="32">
        <v>1143</v>
      </c>
      <c r="B1147" s="176"/>
      <c r="C1147" s="176"/>
      <c r="D1147" s="18" t="s">
        <v>1416</v>
      </c>
      <c r="E1147" s="26">
        <v>43</v>
      </c>
      <c r="F1147" s="26">
        <v>0.17</v>
      </c>
      <c r="G1147" s="26">
        <v>0.17</v>
      </c>
      <c r="H1147" s="45"/>
    </row>
    <row r="1148" spans="1:8" ht="15.75" customHeight="1" x14ac:dyDescent="0.25">
      <c r="A1148" s="32">
        <v>1144</v>
      </c>
      <c r="B1148" s="176"/>
      <c r="C1148" s="176"/>
      <c r="D1148" s="18" t="s">
        <v>1417</v>
      </c>
      <c r="E1148" s="26">
        <v>47</v>
      </c>
      <c r="F1148" s="45"/>
      <c r="G1148" s="26">
        <v>0.12</v>
      </c>
      <c r="H1148" s="45"/>
    </row>
    <row r="1149" spans="1:8" ht="15.75" customHeight="1" x14ac:dyDescent="0.25">
      <c r="A1149" s="32">
        <v>1145</v>
      </c>
      <c r="B1149" s="176"/>
      <c r="C1149" s="176"/>
      <c r="D1149" s="18" t="s">
        <v>1418</v>
      </c>
      <c r="E1149" s="26">
        <v>50</v>
      </c>
      <c r="F1149" s="26">
        <v>0.1</v>
      </c>
      <c r="G1149" s="26">
        <v>0.1</v>
      </c>
      <c r="H1149" s="45"/>
    </row>
    <row r="1150" spans="1:8" ht="15.75" customHeight="1" x14ac:dyDescent="0.25">
      <c r="A1150" s="32">
        <v>1146</v>
      </c>
      <c r="B1150" s="176"/>
      <c r="C1150" s="176"/>
      <c r="D1150" s="18" t="s">
        <v>1419</v>
      </c>
      <c r="E1150" s="26">
        <v>68</v>
      </c>
      <c r="F1150" s="45"/>
      <c r="G1150" s="26">
        <v>0.32</v>
      </c>
      <c r="H1150" s="45"/>
    </row>
    <row r="1151" spans="1:8" ht="15.75" customHeight="1" x14ac:dyDescent="0.25">
      <c r="A1151" s="32">
        <v>1147</v>
      </c>
      <c r="B1151" s="176"/>
      <c r="C1151" s="176"/>
      <c r="D1151" s="18" t="s">
        <v>1420</v>
      </c>
      <c r="E1151" s="26">
        <v>51</v>
      </c>
      <c r="F1151" s="26">
        <v>0.14000000000000001</v>
      </c>
      <c r="G1151" s="26">
        <v>0.14000000000000001</v>
      </c>
      <c r="H1151" s="45"/>
    </row>
    <row r="1152" spans="1:8" ht="15.75" customHeight="1" x14ac:dyDescent="0.25">
      <c r="A1152" s="32">
        <v>1148</v>
      </c>
      <c r="B1152" s="176"/>
      <c r="C1152" s="176"/>
      <c r="D1152" s="18" t="s">
        <v>1421</v>
      </c>
      <c r="E1152" s="26">
        <v>40</v>
      </c>
      <c r="F1152" s="26">
        <v>0.18</v>
      </c>
      <c r="G1152" s="26">
        <v>0.18</v>
      </c>
      <c r="H1152" s="45"/>
    </row>
    <row r="1153" spans="1:8" ht="15.75" customHeight="1" x14ac:dyDescent="0.25">
      <c r="A1153" s="32">
        <v>1149</v>
      </c>
      <c r="B1153" s="176"/>
      <c r="C1153" s="176"/>
      <c r="D1153" s="18" t="s">
        <v>487</v>
      </c>
      <c r="E1153" s="26">
        <v>47</v>
      </c>
      <c r="F1153" s="26">
        <v>0.17</v>
      </c>
      <c r="G1153" s="26">
        <v>0.17</v>
      </c>
      <c r="H1153" s="45"/>
    </row>
    <row r="1154" spans="1:8" ht="15.75" customHeight="1" x14ac:dyDescent="0.25">
      <c r="A1154" s="32">
        <v>1150</v>
      </c>
      <c r="B1154" s="176"/>
      <c r="C1154" s="176"/>
      <c r="D1154" s="18" t="s">
        <v>1340</v>
      </c>
      <c r="E1154" s="26">
        <v>60</v>
      </c>
      <c r="F1154" s="26">
        <v>0.14000000000000001</v>
      </c>
      <c r="G1154" s="26">
        <v>0.14000000000000001</v>
      </c>
      <c r="H1154" s="45"/>
    </row>
    <row r="1155" spans="1:8" ht="15.75" customHeight="1" x14ac:dyDescent="0.25">
      <c r="A1155" s="32">
        <v>1151</v>
      </c>
      <c r="B1155" s="176"/>
      <c r="C1155" s="176"/>
      <c r="D1155" s="18" t="s">
        <v>1422</v>
      </c>
      <c r="E1155" s="26">
        <v>45</v>
      </c>
      <c r="F1155" s="26">
        <v>0.14000000000000001</v>
      </c>
      <c r="G1155" s="26">
        <v>0.14000000000000001</v>
      </c>
      <c r="H1155" s="45"/>
    </row>
    <row r="1156" spans="1:8" ht="15.75" customHeight="1" x14ac:dyDescent="0.25">
      <c r="A1156" s="32">
        <v>1152</v>
      </c>
      <c r="B1156" s="176"/>
      <c r="C1156" s="176"/>
      <c r="D1156" s="18" t="s">
        <v>1423</v>
      </c>
      <c r="E1156" s="26">
        <v>61</v>
      </c>
      <c r="F1156" s="26">
        <v>0.28999999999999998</v>
      </c>
      <c r="G1156" s="26">
        <v>0.28999999999999998</v>
      </c>
      <c r="H1156" s="45"/>
    </row>
    <row r="1157" spans="1:8" ht="15.75" customHeight="1" x14ac:dyDescent="0.25">
      <c r="A1157" s="32">
        <v>1153</v>
      </c>
      <c r="B1157" s="176"/>
      <c r="C1157" s="176"/>
      <c r="D1157" s="18" t="s">
        <v>1424</v>
      </c>
      <c r="E1157" s="26">
        <v>60</v>
      </c>
      <c r="F1157" s="26">
        <v>0.2</v>
      </c>
      <c r="G1157" s="26">
        <v>0.2</v>
      </c>
      <c r="H1157" s="45"/>
    </row>
    <row r="1158" spans="1:8" ht="15.75" customHeight="1" x14ac:dyDescent="0.25">
      <c r="A1158" s="32">
        <v>1154</v>
      </c>
      <c r="B1158" s="176"/>
      <c r="C1158" s="176"/>
      <c r="D1158" s="18" t="s">
        <v>1425</v>
      </c>
      <c r="E1158" s="26">
        <v>72</v>
      </c>
      <c r="F1158" s="26">
        <v>0.34</v>
      </c>
      <c r="G1158" s="26">
        <v>0.34</v>
      </c>
      <c r="H1158" s="45"/>
    </row>
    <row r="1159" spans="1:8" ht="15.75" customHeight="1" x14ac:dyDescent="0.25">
      <c r="A1159" s="32">
        <v>1155</v>
      </c>
      <c r="B1159" s="176"/>
      <c r="C1159" s="176"/>
      <c r="D1159" s="18" t="s">
        <v>637</v>
      </c>
      <c r="E1159" s="26">
        <v>46</v>
      </c>
      <c r="F1159" s="45"/>
      <c r="G1159" s="26">
        <v>0.28999999999999998</v>
      </c>
      <c r="H1159" s="45"/>
    </row>
    <row r="1160" spans="1:8" ht="15.75" customHeight="1" x14ac:dyDescent="0.25">
      <c r="A1160" s="32">
        <v>1156</v>
      </c>
      <c r="B1160" s="176"/>
      <c r="C1160" s="176"/>
      <c r="D1160" s="18" t="s">
        <v>1426</v>
      </c>
      <c r="E1160" s="26">
        <v>80</v>
      </c>
      <c r="F1160" s="26">
        <v>0.28000000000000003</v>
      </c>
      <c r="G1160" s="26">
        <v>0.28000000000000003</v>
      </c>
      <c r="H1160" s="45"/>
    </row>
    <row r="1161" spans="1:8" ht="15.75" customHeight="1" x14ac:dyDescent="0.25">
      <c r="A1161" s="32">
        <v>1157</v>
      </c>
      <c r="B1161" s="176"/>
      <c r="C1161" s="176"/>
      <c r="D1161" s="18" t="s">
        <v>1427</v>
      </c>
      <c r="E1161" s="26">
        <v>58</v>
      </c>
      <c r="F1161" s="26">
        <v>0.2</v>
      </c>
      <c r="G1161" s="26">
        <v>0.2</v>
      </c>
      <c r="H1161" s="45"/>
    </row>
    <row r="1162" spans="1:8" ht="15.75" customHeight="1" x14ac:dyDescent="0.25">
      <c r="A1162" s="32">
        <v>1158</v>
      </c>
      <c r="B1162" s="176"/>
      <c r="C1162" s="176"/>
      <c r="D1162" s="18" t="s">
        <v>1428</v>
      </c>
      <c r="E1162" s="26">
        <v>43</v>
      </c>
      <c r="F1162" s="45"/>
      <c r="G1162" s="26">
        <v>0.13</v>
      </c>
      <c r="H1162" s="45"/>
    </row>
    <row r="1163" spans="1:8" ht="15.75" customHeight="1" x14ac:dyDescent="0.25">
      <c r="A1163" s="32">
        <v>1159</v>
      </c>
      <c r="B1163" s="176"/>
      <c r="C1163" s="176"/>
      <c r="D1163" s="18" t="s">
        <v>1429</v>
      </c>
      <c r="E1163" s="26">
        <v>41</v>
      </c>
      <c r="F1163" s="26">
        <v>0.11</v>
      </c>
      <c r="G1163" s="26">
        <v>0.11</v>
      </c>
      <c r="H1163" s="45"/>
    </row>
    <row r="1164" spans="1:8" ht="15.75" customHeight="1" x14ac:dyDescent="0.25">
      <c r="A1164" s="32">
        <v>1160</v>
      </c>
      <c r="B1164" s="176"/>
      <c r="C1164" s="176"/>
      <c r="D1164" s="18" t="s">
        <v>527</v>
      </c>
      <c r="E1164" s="26">
        <v>50</v>
      </c>
      <c r="F1164" s="26">
        <v>0.32</v>
      </c>
      <c r="G1164" s="26">
        <v>0.32</v>
      </c>
      <c r="H1164" s="45"/>
    </row>
    <row r="1165" spans="1:8" ht="15.75" customHeight="1" x14ac:dyDescent="0.25">
      <c r="A1165" s="32">
        <v>1161</v>
      </c>
      <c r="B1165" s="176"/>
      <c r="C1165" s="176"/>
      <c r="D1165" s="18" t="s">
        <v>1430</v>
      </c>
      <c r="E1165" s="26">
        <v>48</v>
      </c>
      <c r="F1165" s="26">
        <v>0.15</v>
      </c>
      <c r="G1165" s="26">
        <v>0.15</v>
      </c>
      <c r="H1165" s="45"/>
    </row>
    <row r="1166" spans="1:8" ht="15.75" customHeight="1" x14ac:dyDescent="0.25">
      <c r="A1166" s="32">
        <v>1162</v>
      </c>
      <c r="B1166" s="176"/>
      <c r="C1166" s="176"/>
      <c r="D1166" s="18" t="s">
        <v>1431</v>
      </c>
      <c r="E1166" s="26">
        <v>45</v>
      </c>
      <c r="F1166" s="26">
        <v>0.16</v>
      </c>
      <c r="G1166" s="26">
        <v>0.16</v>
      </c>
      <c r="H1166" s="45"/>
    </row>
    <row r="1167" spans="1:8" ht="15.75" customHeight="1" x14ac:dyDescent="0.25">
      <c r="A1167" s="32">
        <v>1163</v>
      </c>
      <c r="B1167" s="176"/>
      <c r="C1167" s="176"/>
      <c r="D1167" s="18" t="s">
        <v>831</v>
      </c>
      <c r="E1167" s="26">
        <v>66</v>
      </c>
      <c r="F1167" s="26">
        <v>0.24</v>
      </c>
      <c r="G1167" s="26">
        <v>0.24</v>
      </c>
      <c r="H1167" s="45"/>
    </row>
    <row r="1168" spans="1:8" ht="15.75" customHeight="1" x14ac:dyDescent="0.25">
      <c r="A1168" s="32">
        <v>1164</v>
      </c>
      <c r="B1168" s="177"/>
      <c r="C1168" s="177"/>
      <c r="D1168" s="18" t="s">
        <v>1432</v>
      </c>
      <c r="E1168" s="26">
        <v>37</v>
      </c>
      <c r="F1168" s="26">
        <v>0.05</v>
      </c>
      <c r="G1168" s="26">
        <v>0.05</v>
      </c>
      <c r="H1168" s="45"/>
    </row>
    <row r="1169" spans="1:8" ht="15.75" customHeight="1" x14ac:dyDescent="0.25">
      <c r="A1169" s="32">
        <v>1165</v>
      </c>
      <c r="B1169" s="175" t="s">
        <v>1433</v>
      </c>
      <c r="C1169" s="175" t="s">
        <v>1434</v>
      </c>
      <c r="D1169" s="21" t="s">
        <v>1435</v>
      </c>
      <c r="E1169" s="45">
        <v>34</v>
      </c>
      <c r="F1169" s="45" t="s">
        <v>1436</v>
      </c>
      <c r="G1169" s="45">
        <v>2</v>
      </c>
      <c r="H1169" s="45" t="s">
        <v>320</v>
      </c>
    </row>
    <row r="1170" spans="1:8" ht="15.75" customHeight="1" x14ac:dyDescent="0.25">
      <c r="A1170" s="32">
        <v>1166</v>
      </c>
      <c r="B1170" s="176"/>
      <c r="C1170" s="176"/>
      <c r="D1170" s="21" t="s">
        <v>1437</v>
      </c>
      <c r="E1170" s="45">
        <v>38</v>
      </c>
      <c r="F1170" s="45">
        <v>2</v>
      </c>
      <c r="G1170" s="45">
        <v>1.5</v>
      </c>
      <c r="H1170" s="45" t="s">
        <v>316</v>
      </c>
    </row>
    <row r="1171" spans="1:8" ht="15.75" customHeight="1" x14ac:dyDescent="0.25">
      <c r="A1171" s="32">
        <v>1167</v>
      </c>
      <c r="B1171" s="176"/>
      <c r="C1171" s="176"/>
      <c r="D1171" s="21" t="s">
        <v>1438</v>
      </c>
      <c r="E1171" s="45">
        <v>46</v>
      </c>
      <c r="F1171" s="45">
        <v>2</v>
      </c>
      <c r="G1171" s="45">
        <v>2</v>
      </c>
      <c r="H1171" s="45" t="s">
        <v>316</v>
      </c>
    </row>
    <row r="1172" spans="1:8" ht="15.75" customHeight="1" x14ac:dyDescent="0.25">
      <c r="A1172" s="32">
        <v>1168</v>
      </c>
      <c r="B1172" s="176"/>
      <c r="C1172" s="176"/>
      <c r="D1172" s="21" t="s">
        <v>1439</v>
      </c>
      <c r="E1172" s="45">
        <v>51</v>
      </c>
      <c r="F1172" s="45">
        <v>2</v>
      </c>
      <c r="G1172" s="45">
        <v>1.25</v>
      </c>
      <c r="H1172" s="45" t="s">
        <v>320</v>
      </c>
    </row>
    <row r="1173" spans="1:8" ht="15.75" customHeight="1" x14ac:dyDescent="0.25">
      <c r="A1173" s="32">
        <v>1169</v>
      </c>
      <c r="B1173" s="176"/>
      <c r="C1173" s="176"/>
      <c r="D1173" s="21" t="s">
        <v>1440</v>
      </c>
      <c r="E1173" s="45">
        <v>46</v>
      </c>
      <c r="F1173" s="45">
        <v>2</v>
      </c>
      <c r="G1173" s="45">
        <v>2</v>
      </c>
      <c r="H1173" s="45" t="s">
        <v>320</v>
      </c>
    </row>
    <row r="1174" spans="1:8" ht="15.75" customHeight="1" x14ac:dyDescent="0.25">
      <c r="A1174" s="32">
        <v>1170</v>
      </c>
      <c r="B1174" s="177"/>
      <c r="C1174" s="177"/>
      <c r="D1174" s="21" t="s">
        <v>1441</v>
      </c>
      <c r="E1174" s="45">
        <v>38</v>
      </c>
      <c r="F1174" s="45">
        <v>2.5</v>
      </c>
      <c r="G1174" s="45">
        <v>2</v>
      </c>
      <c r="H1174" s="45" t="s">
        <v>320</v>
      </c>
    </row>
    <row r="1175" spans="1:8" ht="15.75" customHeight="1" x14ac:dyDescent="0.25">
      <c r="A1175" s="49"/>
      <c r="B1175" s="50"/>
      <c r="C1175" s="50"/>
      <c r="D1175" s="51"/>
      <c r="E1175" s="52"/>
      <c r="F1175" s="52"/>
      <c r="G1175" s="52"/>
      <c r="H1175" s="52"/>
    </row>
  </sheetData>
  <mergeCells count="92">
    <mergeCell ref="C382:C391"/>
    <mergeCell ref="C392:C418"/>
    <mergeCell ref="C419:C440"/>
    <mergeCell ref="C295:C318"/>
    <mergeCell ref="C319:C339"/>
    <mergeCell ref="C340:C341"/>
    <mergeCell ref="C342:C351"/>
    <mergeCell ref="C352:C381"/>
    <mergeCell ref="B1169:B1174"/>
    <mergeCell ref="C5:C9"/>
    <mergeCell ref="C10:C14"/>
    <mergeCell ref="C15:C40"/>
    <mergeCell ref="C41:C67"/>
    <mergeCell ref="B15:B134"/>
    <mergeCell ref="C68:C134"/>
    <mergeCell ref="C135:C154"/>
    <mergeCell ref="C155:C183"/>
    <mergeCell ref="C184:C211"/>
    <mergeCell ref="C212:C224"/>
    <mergeCell ref="C225:C247"/>
    <mergeCell ref="C248:C274"/>
    <mergeCell ref="C275:C294"/>
    <mergeCell ref="B873:B1006"/>
    <mergeCell ref="B1007:B1093"/>
    <mergeCell ref="B1094:B1109"/>
    <mergeCell ref="B1110:B1128"/>
    <mergeCell ref="B1129:B1168"/>
    <mergeCell ref="B487:B592"/>
    <mergeCell ref="B593:B705"/>
    <mergeCell ref="B706:B790"/>
    <mergeCell ref="B791:B850"/>
    <mergeCell ref="B851:B872"/>
    <mergeCell ref="B319:B339"/>
    <mergeCell ref="B340:B486"/>
    <mergeCell ref="B248:B318"/>
    <mergeCell ref="B135:B154"/>
    <mergeCell ref="B155:B183"/>
    <mergeCell ref="B184:B211"/>
    <mergeCell ref="B212:B224"/>
    <mergeCell ref="B225:B247"/>
    <mergeCell ref="B5:B9"/>
    <mergeCell ref="B10:B14"/>
    <mergeCell ref="G3:G4"/>
    <mergeCell ref="H3:H4"/>
    <mergeCell ref="A1:H1"/>
    <mergeCell ref="A3:A4"/>
    <mergeCell ref="B3:B4"/>
    <mergeCell ref="C3:C4"/>
    <mergeCell ref="D3:D4"/>
    <mergeCell ref="E3:E4"/>
    <mergeCell ref="F3:F4"/>
    <mergeCell ref="C441:C454"/>
    <mergeCell ref="C455:C486"/>
    <mergeCell ref="C487:C516"/>
    <mergeCell ref="C517:C530"/>
    <mergeCell ref="C531:C559"/>
    <mergeCell ref="C560:C570"/>
    <mergeCell ref="C571:C578"/>
    <mergeCell ref="C579:C592"/>
    <mergeCell ref="C593:C600"/>
    <mergeCell ref="C601:C614"/>
    <mergeCell ref="C615:C636"/>
    <mergeCell ref="C637:C651"/>
    <mergeCell ref="C652:C665"/>
    <mergeCell ref="C666:C689"/>
    <mergeCell ref="C690:C705"/>
    <mergeCell ref="C706:C734"/>
    <mergeCell ref="C735:C756"/>
    <mergeCell ref="C757:C766"/>
    <mergeCell ref="C767:C790"/>
    <mergeCell ref="C791:C792"/>
    <mergeCell ref="C793:C805"/>
    <mergeCell ref="C806:C817"/>
    <mergeCell ref="C818:C829"/>
    <mergeCell ref="C830:C840"/>
    <mergeCell ref="C841:C850"/>
    <mergeCell ref="C851:C860"/>
    <mergeCell ref="C861:C872"/>
    <mergeCell ref="C873:C886"/>
    <mergeCell ref="C887:C897"/>
    <mergeCell ref="C898:C908"/>
    <mergeCell ref="C909:C941"/>
    <mergeCell ref="C942:C965"/>
    <mergeCell ref="C966:C1006"/>
    <mergeCell ref="C1007:C1023"/>
    <mergeCell ref="C1024:C1039"/>
    <mergeCell ref="C1169:C1174"/>
    <mergeCell ref="C1040:C1069"/>
    <mergeCell ref="C1070:C1093"/>
    <mergeCell ref="C1094:C1109"/>
    <mergeCell ref="C1110:C1128"/>
    <mergeCell ref="C1129:C1168"/>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13"/>
  <sheetViews>
    <sheetView workbookViewId="0">
      <pane ySplit="6" topLeftCell="A43" activePane="bottomLeft" state="frozen"/>
      <selection pane="bottomLeft" activeCell="C7" sqref="C7:C21"/>
    </sheetView>
  </sheetViews>
  <sheetFormatPr defaultColWidth="14.42578125" defaultRowHeight="15" customHeight="1" x14ac:dyDescent="0.25"/>
  <cols>
    <col min="1" max="1" width="5.7109375" style="15" customWidth="1"/>
    <col min="2" max="2" width="21.7109375" style="22" bestFit="1" customWidth="1"/>
    <col min="3" max="3" width="31.5703125" style="22" customWidth="1"/>
    <col min="4" max="4" width="29" style="15" customWidth="1"/>
    <col min="5" max="5" width="22" style="15" bestFit="1" customWidth="1"/>
    <col min="6" max="6" width="16.5703125" style="15" customWidth="1"/>
    <col min="7" max="7" width="12.7109375" style="15" customWidth="1"/>
    <col min="8" max="8" width="13" style="15" customWidth="1"/>
    <col min="9" max="11" width="10.28515625" style="15" customWidth="1"/>
    <col min="12" max="14" width="24.140625" style="15" customWidth="1"/>
    <col min="15" max="16384" width="14.42578125" style="76"/>
  </cols>
  <sheetData>
    <row r="1" spans="1:14" ht="30.75" customHeight="1" x14ac:dyDescent="0.25">
      <c r="A1" s="166" t="s">
        <v>1442</v>
      </c>
      <c r="B1" s="165"/>
      <c r="C1" s="165"/>
      <c r="D1" s="165"/>
      <c r="E1" s="165"/>
      <c r="F1" s="165"/>
      <c r="G1" s="165"/>
      <c r="H1" s="165"/>
      <c r="I1" s="165"/>
      <c r="J1" s="165"/>
      <c r="K1" s="165"/>
      <c r="L1" s="165"/>
      <c r="M1" s="165"/>
      <c r="N1" s="165"/>
    </row>
    <row r="2" spans="1:14" x14ac:dyDescent="0.25">
      <c r="A2" s="56"/>
      <c r="E2" s="57"/>
    </row>
    <row r="3" spans="1:14" ht="2.25" customHeight="1" x14ac:dyDescent="0.25">
      <c r="A3" s="56"/>
      <c r="E3" s="57"/>
    </row>
    <row r="4" spans="1:14" s="77" customFormat="1" x14ac:dyDescent="0.25">
      <c r="A4" s="201" t="s">
        <v>1</v>
      </c>
      <c r="B4" s="203" t="s">
        <v>1443</v>
      </c>
      <c r="C4" s="203" t="s">
        <v>1444</v>
      </c>
      <c r="D4" s="203" t="s">
        <v>1445</v>
      </c>
      <c r="E4" s="203" t="s">
        <v>1446</v>
      </c>
      <c r="F4" s="203" t="s">
        <v>1447</v>
      </c>
      <c r="G4" s="203" t="s">
        <v>311</v>
      </c>
      <c r="H4" s="203" t="s">
        <v>312</v>
      </c>
      <c r="I4" s="203" t="s">
        <v>1448</v>
      </c>
      <c r="J4" s="202"/>
      <c r="K4" s="202"/>
      <c r="L4" s="202"/>
      <c r="M4" s="202"/>
      <c r="N4" s="202"/>
    </row>
    <row r="5" spans="1:14" s="77" customFormat="1" x14ac:dyDescent="0.25">
      <c r="A5" s="202"/>
      <c r="B5" s="204"/>
      <c r="C5" s="204"/>
      <c r="D5" s="202"/>
      <c r="E5" s="202"/>
      <c r="F5" s="202"/>
      <c r="G5" s="202"/>
      <c r="H5" s="202"/>
      <c r="I5" s="203" t="s">
        <v>1449</v>
      </c>
      <c r="J5" s="202"/>
      <c r="K5" s="202"/>
      <c r="L5" s="203" t="s">
        <v>1450</v>
      </c>
      <c r="M5" s="202"/>
      <c r="N5" s="202"/>
    </row>
    <row r="6" spans="1:14" s="77" customFormat="1" ht="30" x14ac:dyDescent="0.25">
      <c r="A6" s="202"/>
      <c r="B6" s="204"/>
      <c r="C6" s="204"/>
      <c r="D6" s="202"/>
      <c r="E6" s="202"/>
      <c r="F6" s="202"/>
      <c r="G6" s="202"/>
      <c r="H6" s="202"/>
      <c r="I6" s="90" t="s">
        <v>1451</v>
      </c>
      <c r="J6" s="90" t="s">
        <v>1452</v>
      </c>
      <c r="K6" s="90" t="s">
        <v>1453</v>
      </c>
      <c r="L6" s="90" t="s">
        <v>1453</v>
      </c>
      <c r="M6" s="90" t="s">
        <v>1454</v>
      </c>
      <c r="N6" s="90" t="s">
        <v>1455</v>
      </c>
    </row>
    <row r="7" spans="1:14" s="77" customFormat="1" ht="27" customHeight="1" x14ac:dyDescent="0.25">
      <c r="A7" s="60">
        <v>1</v>
      </c>
      <c r="B7" s="195" t="s">
        <v>1456</v>
      </c>
      <c r="C7" s="195" t="s">
        <v>77</v>
      </c>
      <c r="D7" s="61" t="s">
        <v>1457</v>
      </c>
      <c r="E7" s="62">
        <v>26</v>
      </c>
      <c r="F7" s="61" t="s">
        <v>1458</v>
      </c>
      <c r="G7" s="62">
        <v>3</v>
      </c>
      <c r="H7" s="62">
        <v>94</v>
      </c>
      <c r="I7" s="62"/>
      <c r="J7" s="62"/>
      <c r="K7" s="62"/>
      <c r="L7" s="81" t="s">
        <v>1459</v>
      </c>
      <c r="M7" s="81" t="s">
        <v>1460</v>
      </c>
      <c r="N7" s="81"/>
    </row>
    <row r="8" spans="1:14" s="77" customFormat="1" ht="27" customHeight="1" x14ac:dyDescent="0.25">
      <c r="A8" s="60"/>
      <c r="B8" s="196"/>
      <c r="C8" s="196"/>
      <c r="D8" s="61" t="s">
        <v>1461</v>
      </c>
      <c r="E8" s="62">
        <v>26</v>
      </c>
      <c r="F8" s="61" t="s">
        <v>1462</v>
      </c>
      <c r="G8" s="62"/>
      <c r="H8" s="62"/>
      <c r="I8" s="62"/>
      <c r="J8" s="62"/>
      <c r="K8" s="62"/>
      <c r="L8" s="81" t="s">
        <v>1463</v>
      </c>
      <c r="M8" s="81" t="s">
        <v>1464</v>
      </c>
      <c r="N8" s="81"/>
    </row>
    <row r="9" spans="1:14" s="77" customFormat="1" ht="27" customHeight="1" x14ac:dyDescent="0.25">
      <c r="A9" s="60"/>
      <c r="B9" s="196"/>
      <c r="C9" s="196"/>
      <c r="D9" s="61" t="s">
        <v>1465</v>
      </c>
      <c r="E9" s="62">
        <v>31</v>
      </c>
      <c r="F9" s="61" t="s">
        <v>1462</v>
      </c>
      <c r="G9" s="62"/>
      <c r="H9" s="62"/>
      <c r="I9" s="62"/>
      <c r="J9" s="62"/>
      <c r="K9" s="62"/>
      <c r="L9" s="81" t="s">
        <v>1466</v>
      </c>
      <c r="M9" s="81"/>
      <c r="N9" s="81"/>
    </row>
    <row r="10" spans="1:14" s="77" customFormat="1" ht="27" customHeight="1" x14ac:dyDescent="0.25">
      <c r="A10" s="60"/>
      <c r="B10" s="196"/>
      <c r="C10" s="196"/>
      <c r="D10" s="61" t="s">
        <v>1467</v>
      </c>
      <c r="E10" s="62">
        <v>40</v>
      </c>
      <c r="F10" s="61" t="s">
        <v>1462</v>
      </c>
      <c r="G10" s="62"/>
      <c r="H10" s="62"/>
      <c r="I10" s="62"/>
      <c r="J10" s="62"/>
      <c r="K10" s="62"/>
      <c r="L10" s="81" t="s">
        <v>1468</v>
      </c>
      <c r="M10" s="81"/>
      <c r="N10" s="81"/>
    </row>
    <row r="11" spans="1:14" s="77" customFormat="1" ht="27" customHeight="1" x14ac:dyDescent="0.25">
      <c r="A11" s="60"/>
      <c r="B11" s="196"/>
      <c r="C11" s="196"/>
      <c r="D11" s="61" t="s">
        <v>1469</v>
      </c>
      <c r="E11" s="62">
        <v>40</v>
      </c>
      <c r="F11" s="61" t="s">
        <v>1462</v>
      </c>
      <c r="G11" s="62"/>
      <c r="H11" s="62"/>
      <c r="I11" s="62"/>
      <c r="J11" s="62"/>
      <c r="K11" s="62"/>
      <c r="L11" s="81" t="s">
        <v>1470</v>
      </c>
      <c r="M11" s="81"/>
      <c r="N11" s="81"/>
    </row>
    <row r="12" spans="1:14" s="77" customFormat="1" ht="27" customHeight="1" x14ac:dyDescent="0.25">
      <c r="A12" s="60"/>
      <c r="B12" s="196"/>
      <c r="C12" s="196"/>
      <c r="D12" s="61" t="s">
        <v>1471</v>
      </c>
      <c r="E12" s="62">
        <v>23</v>
      </c>
      <c r="F12" s="61" t="s">
        <v>1458</v>
      </c>
      <c r="G12" s="62"/>
      <c r="H12" s="62"/>
      <c r="I12" s="62"/>
      <c r="J12" s="62"/>
      <c r="K12" s="62"/>
      <c r="L12" s="81" t="s">
        <v>1472</v>
      </c>
      <c r="M12" s="81"/>
      <c r="N12" s="81"/>
    </row>
    <row r="13" spans="1:14" s="77" customFormat="1" ht="22.5" customHeight="1" x14ac:dyDescent="0.25">
      <c r="A13" s="60"/>
      <c r="B13" s="196"/>
      <c r="C13" s="196"/>
      <c r="D13" s="61" t="s">
        <v>1473</v>
      </c>
      <c r="E13" s="62">
        <v>35</v>
      </c>
      <c r="F13" s="61" t="s">
        <v>1462</v>
      </c>
      <c r="G13" s="62"/>
      <c r="H13" s="62"/>
      <c r="I13" s="62"/>
      <c r="J13" s="62"/>
      <c r="K13" s="62"/>
      <c r="L13" s="81" t="s">
        <v>1474</v>
      </c>
      <c r="M13" s="81"/>
      <c r="N13" s="81"/>
    </row>
    <row r="14" spans="1:14" s="77" customFormat="1" ht="22.5" customHeight="1" x14ac:dyDescent="0.25">
      <c r="A14" s="60"/>
      <c r="B14" s="196"/>
      <c r="C14" s="196"/>
      <c r="D14" s="61" t="s">
        <v>1475</v>
      </c>
      <c r="E14" s="62">
        <v>35</v>
      </c>
      <c r="F14" s="61" t="s">
        <v>1462</v>
      </c>
      <c r="G14" s="62"/>
      <c r="H14" s="62"/>
      <c r="I14" s="62"/>
      <c r="J14" s="62"/>
      <c r="K14" s="62"/>
      <c r="L14" s="81"/>
      <c r="M14" s="81"/>
      <c r="N14" s="81"/>
    </row>
    <row r="15" spans="1:14" s="77" customFormat="1" ht="22.5" customHeight="1" x14ac:dyDescent="0.25">
      <c r="A15" s="60"/>
      <c r="B15" s="196"/>
      <c r="C15" s="196"/>
      <c r="D15" s="61" t="s">
        <v>1476</v>
      </c>
      <c r="E15" s="62">
        <v>24</v>
      </c>
      <c r="F15" s="61" t="s">
        <v>1458</v>
      </c>
      <c r="G15" s="62"/>
      <c r="H15" s="62"/>
      <c r="I15" s="62"/>
      <c r="J15" s="62"/>
      <c r="K15" s="62"/>
      <c r="L15" s="81"/>
      <c r="M15" s="81"/>
      <c r="N15" s="81"/>
    </row>
    <row r="16" spans="1:14" s="77" customFormat="1" ht="22.5" customHeight="1" x14ac:dyDescent="0.25">
      <c r="A16" s="60"/>
      <c r="B16" s="196"/>
      <c r="C16" s="196"/>
      <c r="D16" s="61" t="s">
        <v>1477</v>
      </c>
      <c r="E16" s="62">
        <v>25</v>
      </c>
      <c r="F16" s="61" t="s">
        <v>1462</v>
      </c>
      <c r="G16" s="62"/>
      <c r="H16" s="62"/>
      <c r="I16" s="62"/>
      <c r="J16" s="62"/>
      <c r="K16" s="62"/>
      <c r="L16" s="81"/>
      <c r="M16" s="81"/>
      <c r="N16" s="81"/>
    </row>
    <row r="17" spans="1:14" s="77" customFormat="1" ht="22.5" customHeight="1" x14ac:dyDescent="0.25">
      <c r="A17" s="60"/>
      <c r="B17" s="196"/>
      <c r="C17" s="196"/>
      <c r="D17" s="61" t="s">
        <v>1478</v>
      </c>
      <c r="E17" s="62">
        <v>41</v>
      </c>
      <c r="F17" s="61" t="s">
        <v>1462</v>
      </c>
      <c r="G17" s="62"/>
      <c r="H17" s="62"/>
      <c r="I17" s="62"/>
      <c r="J17" s="62"/>
      <c r="K17" s="62"/>
      <c r="L17" s="81"/>
      <c r="M17" s="81"/>
      <c r="N17" s="81"/>
    </row>
    <row r="18" spans="1:14" s="77" customFormat="1" ht="22.5" customHeight="1" x14ac:dyDescent="0.25">
      <c r="A18" s="60"/>
      <c r="B18" s="196"/>
      <c r="C18" s="196"/>
      <c r="D18" s="61" t="s">
        <v>1479</v>
      </c>
      <c r="E18" s="62">
        <v>28</v>
      </c>
      <c r="F18" s="61" t="s">
        <v>1462</v>
      </c>
      <c r="G18" s="62"/>
      <c r="H18" s="62"/>
      <c r="I18" s="62"/>
      <c r="J18" s="62"/>
      <c r="K18" s="62"/>
      <c r="L18" s="81"/>
      <c r="M18" s="81"/>
      <c r="N18" s="81"/>
    </row>
    <row r="19" spans="1:14" s="77" customFormat="1" ht="22.5" customHeight="1" x14ac:dyDescent="0.25">
      <c r="A19" s="60"/>
      <c r="B19" s="196"/>
      <c r="C19" s="196"/>
      <c r="D19" s="61" t="s">
        <v>1480</v>
      </c>
      <c r="E19" s="62">
        <v>40</v>
      </c>
      <c r="F19" s="61" t="s">
        <v>1462</v>
      </c>
      <c r="G19" s="62"/>
      <c r="H19" s="62"/>
      <c r="I19" s="62"/>
      <c r="J19" s="62"/>
      <c r="K19" s="62"/>
      <c r="L19" s="81"/>
      <c r="M19" s="81"/>
      <c r="N19" s="81"/>
    </row>
    <row r="20" spans="1:14" s="77" customFormat="1" ht="22.5" customHeight="1" x14ac:dyDescent="0.25">
      <c r="A20" s="60"/>
      <c r="B20" s="196"/>
      <c r="C20" s="196"/>
      <c r="D20" s="61" t="s">
        <v>1481</v>
      </c>
      <c r="E20" s="62">
        <v>31</v>
      </c>
      <c r="F20" s="61" t="s">
        <v>1462</v>
      </c>
      <c r="G20" s="62"/>
      <c r="H20" s="62"/>
      <c r="I20" s="62"/>
      <c r="J20" s="62"/>
      <c r="K20" s="62"/>
      <c r="L20" s="81"/>
      <c r="M20" s="81"/>
      <c r="N20" s="81"/>
    </row>
    <row r="21" spans="1:14" s="77" customFormat="1" ht="22.5" customHeight="1" x14ac:dyDescent="0.25">
      <c r="A21" s="60"/>
      <c r="B21" s="197"/>
      <c r="C21" s="197"/>
      <c r="D21" s="61" t="s">
        <v>1482</v>
      </c>
      <c r="E21" s="62">
        <v>40</v>
      </c>
      <c r="F21" s="61" t="s">
        <v>1483</v>
      </c>
      <c r="G21" s="62"/>
      <c r="H21" s="62"/>
      <c r="I21" s="62"/>
      <c r="J21" s="62"/>
      <c r="K21" s="62"/>
      <c r="L21" s="81"/>
      <c r="M21" s="81"/>
      <c r="N21" s="81"/>
    </row>
    <row r="22" spans="1:14" s="77" customFormat="1" ht="22.5" customHeight="1" x14ac:dyDescent="0.25">
      <c r="A22" s="63">
        <v>2</v>
      </c>
      <c r="B22" s="192" t="s">
        <v>1484</v>
      </c>
      <c r="C22" s="195" t="s">
        <v>1485</v>
      </c>
      <c r="D22" s="65" t="s">
        <v>1486</v>
      </c>
      <c r="E22" s="64">
        <v>34</v>
      </c>
      <c r="F22" s="65" t="s">
        <v>1458</v>
      </c>
      <c r="G22" s="64">
        <v>47</v>
      </c>
      <c r="H22" s="64" t="s">
        <v>1487</v>
      </c>
      <c r="I22" s="64"/>
      <c r="J22" s="64"/>
      <c r="K22" s="64"/>
      <c r="L22" s="82" t="s">
        <v>1488</v>
      </c>
      <c r="M22" s="82"/>
      <c r="N22" s="82"/>
    </row>
    <row r="23" spans="1:14" s="77" customFormat="1" ht="22.5" customHeight="1" x14ac:dyDescent="0.25">
      <c r="A23" s="63"/>
      <c r="B23" s="193"/>
      <c r="C23" s="196"/>
      <c r="D23" s="65" t="s">
        <v>1489</v>
      </c>
      <c r="E23" s="64">
        <v>33</v>
      </c>
      <c r="F23" s="65" t="s">
        <v>1490</v>
      </c>
      <c r="G23" s="64"/>
      <c r="H23" s="64"/>
      <c r="I23" s="64"/>
      <c r="J23" s="64"/>
      <c r="K23" s="64"/>
      <c r="L23" s="82" t="s">
        <v>1491</v>
      </c>
      <c r="M23" s="82"/>
      <c r="N23" s="82"/>
    </row>
    <row r="24" spans="1:14" s="77" customFormat="1" ht="22.5" customHeight="1" x14ac:dyDescent="0.25">
      <c r="A24" s="63"/>
      <c r="B24" s="193"/>
      <c r="C24" s="196"/>
      <c r="D24" s="65" t="s">
        <v>1492</v>
      </c>
      <c r="E24" s="64">
        <v>47</v>
      </c>
      <c r="F24" s="65" t="s">
        <v>1462</v>
      </c>
      <c r="G24" s="64"/>
      <c r="H24" s="64"/>
      <c r="I24" s="64"/>
      <c r="J24" s="64"/>
      <c r="K24" s="64"/>
      <c r="L24" s="82" t="s">
        <v>1468</v>
      </c>
      <c r="M24" s="82"/>
      <c r="N24" s="82"/>
    </row>
    <row r="25" spans="1:14" s="77" customFormat="1" ht="22.5" customHeight="1" x14ac:dyDescent="0.25">
      <c r="A25" s="63"/>
      <c r="B25" s="193"/>
      <c r="C25" s="196"/>
      <c r="D25" s="65" t="s">
        <v>1493</v>
      </c>
      <c r="E25" s="64">
        <v>27</v>
      </c>
      <c r="F25" s="65" t="s">
        <v>1462</v>
      </c>
      <c r="G25" s="64"/>
      <c r="H25" s="64"/>
      <c r="I25" s="64"/>
      <c r="J25" s="64"/>
      <c r="K25" s="64"/>
      <c r="L25" s="82" t="s">
        <v>1494</v>
      </c>
      <c r="M25" s="82"/>
      <c r="N25" s="82"/>
    </row>
    <row r="26" spans="1:14" s="77" customFormat="1" ht="22.5" customHeight="1" x14ac:dyDescent="0.25">
      <c r="A26" s="63"/>
      <c r="B26" s="193"/>
      <c r="C26" s="196"/>
      <c r="D26" s="65" t="s">
        <v>1495</v>
      </c>
      <c r="E26" s="64">
        <v>39</v>
      </c>
      <c r="F26" s="65" t="s">
        <v>1496</v>
      </c>
      <c r="G26" s="64"/>
      <c r="H26" s="64"/>
      <c r="I26" s="64"/>
      <c r="J26" s="64"/>
      <c r="K26" s="64"/>
      <c r="L26" s="82" t="s">
        <v>1497</v>
      </c>
      <c r="M26" s="82"/>
      <c r="N26" s="82"/>
    </row>
    <row r="27" spans="1:14" s="77" customFormat="1" ht="22.5" customHeight="1" x14ac:dyDescent="0.25">
      <c r="A27" s="63"/>
      <c r="B27" s="193"/>
      <c r="C27" s="196"/>
      <c r="D27" s="65" t="s">
        <v>1498</v>
      </c>
      <c r="E27" s="64">
        <v>48</v>
      </c>
      <c r="F27" s="65" t="s">
        <v>1496</v>
      </c>
      <c r="G27" s="64"/>
      <c r="H27" s="64"/>
      <c r="I27" s="64"/>
      <c r="J27" s="64"/>
      <c r="K27" s="64"/>
      <c r="L27" s="82" t="s">
        <v>1464</v>
      </c>
      <c r="M27" s="82"/>
      <c r="N27" s="82"/>
    </row>
    <row r="28" spans="1:14" s="77" customFormat="1" ht="22.5" customHeight="1" x14ac:dyDescent="0.25">
      <c r="A28" s="63"/>
      <c r="B28" s="193"/>
      <c r="C28" s="196"/>
      <c r="D28" s="65" t="s">
        <v>1499</v>
      </c>
      <c r="E28" s="64">
        <v>38</v>
      </c>
      <c r="F28" s="65" t="s">
        <v>1496</v>
      </c>
      <c r="G28" s="64"/>
      <c r="H28" s="64"/>
      <c r="I28" s="64"/>
      <c r="J28" s="64"/>
      <c r="K28" s="64"/>
      <c r="L28" s="82"/>
      <c r="M28" s="82"/>
      <c r="N28" s="82"/>
    </row>
    <row r="29" spans="1:14" s="77" customFormat="1" ht="22.5" customHeight="1" x14ac:dyDescent="0.25">
      <c r="A29" s="63"/>
      <c r="B29" s="193"/>
      <c r="C29" s="196"/>
      <c r="D29" s="65" t="s">
        <v>1500</v>
      </c>
      <c r="E29" s="64">
        <v>21</v>
      </c>
      <c r="F29" s="65" t="s">
        <v>1462</v>
      </c>
      <c r="G29" s="64"/>
      <c r="H29" s="64"/>
      <c r="I29" s="64"/>
      <c r="J29" s="64"/>
      <c r="K29" s="64"/>
      <c r="L29" s="82"/>
      <c r="M29" s="82"/>
      <c r="N29" s="82"/>
    </row>
    <row r="30" spans="1:14" s="77" customFormat="1" ht="22.5" customHeight="1" x14ac:dyDescent="0.25">
      <c r="A30" s="63"/>
      <c r="B30" s="193"/>
      <c r="C30" s="196"/>
      <c r="D30" s="65" t="s">
        <v>1501</v>
      </c>
      <c r="E30" s="64">
        <v>36</v>
      </c>
      <c r="F30" s="65" t="s">
        <v>1496</v>
      </c>
      <c r="G30" s="64"/>
      <c r="H30" s="64"/>
      <c r="I30" s="64"/>
      <c r="J30" s="64"/>
      <c r="K30" s="64"/>
      <c r="L30" s="82"/>
      <c r="M30" s="82"/>
      <c r="N30" s="82"/>
    </row>
    <row r="31" spans="1:14" s="77" customFormat="1" ht="22.5" customHeight="1" x14ac:dyDescent="0.25">
      <c r="A31" s="63"/>
      <c r="B31" s="193"/>
      <c r="C31" s="196"/>
      <c r="D31" s="65" t="s">
        <v>1502</v>
      </c>
      <c r="E31" s="64">
        <v>31</v>
      </c>
      <c r="F31" s="65" t="s">
        <v>1503</v>
      </c>
      <c r="G31" s="64"/>
      <c r="H31" s="64"/>
      <c r="I31" s="64"/>
      <c r="J31" s="64"/>
      <c r="K31" s="64"/>
      <c r="L31" s="82"/>
      <c r="M31" s="82"/>
      <c r="N31" s="82"/>
    </row>
    <row r="32" spans="1:14" s="77" customFormat="1" ht="22.5" customHeight="1" x14ac:dyDescent="0.25">
      <c r="A32" s="63"/>
      <c r="B32" s="193"/>
      <c r="C32" s="196"/>
      <c r="D32" s="65" t="s">
        <v>1504</v>
      </c>
      <c r="E32" s="64">
        <v>38</v>
      </c>
      <c r="F32" s="65" t="s">
        <v>1496</v>
      </c>
      <c r="G32" s="64"/>
      <c r="H32" s="64"/>
      <c r="I32" s="64"/>
      <c r="J32" s="64"/>
      <c r="K32" s="64"/>
      <c r="L32" s="82"/>
      <c r="M32" s="82"/>
      <c r="N32" s="82"/>
    </row>
    <row r="33" spans="1:14" s="77" customFormat="1" ht="22.5" customHeight="1" x14ac:dyDescent="0.25">
      <c r="A33" s="63"/>
      <c r="B33" s="193"/>
      <c r="C33" s="196"/>
      <c r="D33" s="65" t="s">
        <v>1505</v>
      </c>
      <c r="E33" s="64">
        <v>47</v>
      </c>
      <c r="F33" s="65" t="s">
        <v>1462</v>
      </c>
      <c r="G33" s="64"/>
      <c r="H33" s="64"/>
      <c r="I33" s="64"/>
      <c r="J33" s="64"/>
      <c r="K33" s="64"/>
      <c r="L33" s="82"/>
      <c r="M33" s="82"/>
      <c r="N33" s="82"/>
    </row>
    <row r="34" spans="1:14" s="77" customFormat="1" ht="22.5" customHeight="1" x14ac:dyDescent="0.25">
      <c r="A34" s="63"/>
      <c r="B34" s="193"/>
      <c r="C34" s="196"/>
      <c r="D34" s="65" t="s">
        <v>1506</v>
      </c>
      <c r="E34" s="64">
        <v>30</v>
      </c>
      <c r="F34" s="65" t="s">
        <v>1507</v>
      </c>
      <c r="G34" s="64"/>
      <c r="H34" s="64"/>
      <c r="I34" s="64"/>
      <c r="J34" s="64"/>
      <c r="K34" s="64"/>
      <c r="L34" s="82"/>
      <c r="M34" s="82"/>
      <c r="N34" s="82"/>
    </row>
    <row r="35" spans="1:14" s="77" customFormat="1" ht="22.5" customHeight="1" x14ac:dyDescent="0.25">
      <c r="A35" s="63"/>
      <c r="B35" s="193"/>
      <c r="C35" s="196"/>
      <c r="D35" s="65" t="s">
        <v>1508</v>
      </c>
      <c r="E35" s="64">
        <v>31</v>
      </c>
      <c r="F35" s="65" t="s">
        <v>1503</v>
      </c>
      <c r="G35" s="64"/>
      <c r="H35" s="64"/>
      <c r="I35" s="64"/>
      <c r="J35" s="64"/>
      <c r="K35" s="64"/>
      <c r="L35" s="82"/>
      <c r="M35" s="82"/>
      <c r="N35" s="82"/>
    </row>
    <row r="36" spans="1:14" s="77" customFormat="1" ht="22.5" customHeight="1" x14ac:dyDescent="0.25">
      <c r="A36" s="63"/>
      <c r="B36" s="194"/>
      <c r="C36" s="197"/>
      <c r="D36" s="65" t="s">
        <v>1509</v>
      </c>
      <c r="E36" s="64">
        <v>21</v>
      </c>
      <c r="F36" s="65" t="s">
        <v>1462</v>
      </c>
      <c r="G36" s="64"/>
      <c r="H36" s="64"/>
      <c r="I36" s="64"/>
      <c r="J36" s="64"/>
      <c r="K36" s="64"/>
      <c r="L36" s="82"/>
      <c r="M36" s="82"/>
      <c r="N36" s="82"/>
    </row>
    <row r="37" spans="1:14" s="77" customFormat="1" ht="79.5" customHeight="1" x14ac:dyDescent="0.25">
      <c r="A37" s="87">
        <v>3</v>
      </c>
      <c r="B37" s="79" t="s">
        <v>1510</v>
      </c>
      <c r="C37" s="79" t="s">
        <v>106</v>
      </c>
      <c r="D37" s="78" t="s">
        <v>1511</v>
      </c>
      <c r="E37" s="89">
        <v>35</v>
      </c>
      <c r="F37" s="78" t="s">
        <v>1458</v>
      </c>
      <c r="G37" s="89">
        <v>110</v>
      </c>
      <c r="H37" s="89">
        <v>7</v>
      </c>
      <c r="I37" s="89"/>
      <c r="J37" s="89"/>
      <c r="K37" s="89"/>
      <c r="L37" s="88" t="s">
        <v>1512</v>
      </c>
      <c r="M37" s="82"/>
      <c r="N37" s="82"/>
    </row>
    <row r="38" spans="1:14" s="77" customFormat="1" ht="22.5" customHeight="1" x14ac:dyDescent="0.25">
      <c r="A38" s="63">
        <v>4</v>
      </c>
      <c r="B38" s="192" t="s">
        <v>1209</v>
      </c>
      <c r="C38" s="192" t="s">
        <v>35</v>
      </c>
      <c r="D38" s="65" t="s">
        <v>1513</v>
      </c>
      <c r="E38" s="64">
        <v>29</v>
      </c>
      <c r="F38" s="65" t="s">
        <v>1462</v>
      </c>
      <c r="G38" s="64"/>
      <c r="H38" s="64">
        <v>143</v>
      </c>
      <c r="I38" s="64"/>
      <c r="J38" s="64"/>
      <c r="K38" s="64"/>
      <c r="L38" s="82" t="s">
        <v>1463</v>
      </c>
      <c r="M38" s="82"/>
      <c r="N38" s="82"/>
    </row>
    <row r="39" spans="1:14" s="77" customFormat="1" ht="22.5" customHeight="1" x14ac:dyDescent="0.25">
      <c r="A39" s="63"/>
      <c r="B39" s="193"/>
      <c r="C39" s="193"/>
      <c r="D39" s="65" t="s">
        <v>1514</v>
      </c>
      <c r="E39" s="64">
        <v>19</v>
      </c>
      <c r="F39" s="65" t="s">
        <v>1462</v>
      </c>
      <c r="G39" s="64"/>
      <c r="H39" s="64"/>
      <c r="I39" s="64"/>
      <c r="J39" s="64"/>
      <c r="K39" s="64"/>
      <c r="L39" s="82" t="s">
        <v>1515</v>
      </c>
      <c r="M39" s="82"/>
      <c r="N39" s="82"/>
    </row>
    <row r="40" spans="1:14" s="77" customFormat="1" ht="22.5" customHeight="1" x14ac:dyDescent="0.25">
      <c r="A40" s="63"/>
      <c r="B40" s="193"/>
      <c r="C40" s="193"/>
      <c r="D40" s="65" t="s">
        <v>1516</v>
      </c>
      <c r="E40" s="64">
        <v>40</v>
      </c>
      <c r="F40" s="65" t="s">
        <v>1458</v>
      </c>
      <c r="G40" s="64"/>
      <c r="H40" s="64"/>
      <c r="I40" s="64"/>
      <c r="J40" s="64"/>
      <c r="K40" s="64"/>
      <c r="L40" s="82"/>
      <c r="M40" s="82"/>
      <c r="N40" s="82"/>
    </row>
    <row r="41" spans="1:14" s="77" customFormat="1" ht="22.5" customHeight="1" x14ac:dyDescent="0.25">
      <c r="A41" s="63"/>
      <c r="B41" s="193"/>
      <c r="C41" s="193"/>
      <c r="D41" s="65" t="s">
        <v>1517</v>
      </c>
      <c r="E41" s="64">
        <v>27</v>
      </c>
      <c r="F41" s="65" t="s">
        <v>1462</v>
      </c>
      <c r="G41" s="64"/>
      <c r="H41" s="64"/>
      <c r="I41" s="64"/>
      <c r="J41" s="64"/>
      <c r="K41" s="64"/>
      <c r="L41" s="82"/>
      <c r="M41" s="82"/>
      <c r="N41" s="82"/>
    </row>
    <row r="42" spans="1:14" s="77" customFormat="1" ht="22.5" customHeight="1" x14ac:dyDescent="0.25">
      <c r="A42" s="63"/>
      <c r="B42" s="193"/>
      <c r="C42" s="193"/>
      <c r="D42" s="65" t="s">
        <v>1518</v>
      </c>
      <c r="E42" s="64">
        <v>46</v>
      </c>
      <c r="F42" s="65" t="s">
        <v>1462</v>
      </c>
      <c r="G42" s="64"/>
      <c r="H42" s="64"/>
      <c r="I42" s="64"/>
      <c r="J42" s="64"/>
      <c r="K42" s="64"/>
      <c r="L42" s="82"/>
      <c r="M42" s="82"/>
      <c r="N42" s="82"/>
    </row>
    <row r="43" spans="1:14" s="77" customFormat="1" ht="22.5" customHeight="1" x14ac:dyDescent="0.25">
      <c r="A43" s="63"/>
      <c r="B43" s="193"/>
      <c r="C43" s="193"/>
      <c r="D43" s="65" t="s">
        <v>1519</v>
      </c>
      <c r="E43" s="64">
        <v>25</v>
      </c>
      <c r="F43" s="65" t="s">
        <v>1462</v>
      </c>
      <c r="G43" s="64"/>
      <c r="H43" s="64"/>
      <c r="I43" s="64"/>
      <c r="J43" s="64"/>
      <c r="K43" s="64"/>
      <c r="L43" s="82"/>
      <c r="M43" s="82"/>
      <c r="N43" s="82"/>
    </row>
    <row r="44" spans="1:14" s="77" customFormat="1" ht="22.5" customHeight="1" x14ac:dyDescent="0.25">
      <c r="A44" s="63"/>
      <c r="B44" s="193"/>
      <c r="C44" s="193"/>
      <c r="D44" s="65" t="s">
        <v>1520</v>
      </c>
      <c r="E44" s="64">
        <v>42</v>
      </c>
      <c r="F44" s="65" t="s">
        <v>1462</v>
      </c>
      <c r="G44" s="64"/>
      <c r="H44" s="64"/>
      <c r="I44" s="64"/>
      <c r="J44" s="64"/>
      <c r="K44" s="64"/>
      <c r="L44" s="82"/>
      <c r="M44" s="82"/>
      <c r="N44" s="82"/>
    </row>
    <row r="45" spans="1:14" s="77" customFormat="1" ht="22.5" customHeight="1" x14ac:dyDescent="0.25">
      <c r="A45" s="63"/>
      <c r="B45" s="193"/>
      <c r="C45" s="193"/>
      <c r="D45" s="65" t="s">
        <v>1521</v>
      </c>
      <c r="E45" s="64">
        <v>24</v>
      </c>
      <c r="F45" s="65" t="s">
        <v>1462</v>
      </c>
      <c r="G45" s="64"/>
      <c r="H45" s="64"/>
      <c r="I45" s="64"/>
      <c r="J45" s="64"/>
      <c r="K45" s="64"/>
      <c r="L45" s="82"/>
      <c r="M45" s="82"/>
      <c r="N45" s="82"/>
    </row>
    <row r="46" spans="1:14" s="77" customFormat="1" ht="22.5" customHeight="1" x14ac:dyDescent="0.25">
      <c r="A46" s="63"/>
      <c r="B46" s="193"/>
      <c r="C46" s="193"/>
      <c r="D46" s="65" t="s">
        <v>1522</v>
      </c>
      <c r="E46" s="64">
        <v>21</v>
      </c>
      <c r="F46" s="65" t="s">
        <v>1462</v>
      </c>
      <c r="G46" s="64"/>
      <c r="H46" s="64"/>
      <c r="I46" s="64"/>
      <c r="J46" s="64"/>
      <c r="K46" s="64"/>
      <c r="L46" s="82"/>
      <c r="M46" s="82"/>
      <c r="N46" s="82"/>
    </row>
    <row r="47" spans="1:14" s="77" customFormat="1" ht="22.5" customHeight="1" x14ac:dyDescent="0.25">
      <c r="A47" s="63"/>
      <c r="B47" s="193"/>
      <c r="C47" s="193"/>
      <c r="D47" s="65" t="s">
        <v>1523</v>
      </c>
      <c r="E47" s="64">
        <v>29</v>
      </c>
      <c r="F47" s="65" t="s">
        <v>1462</v>
      </c>
      <c r="G47" s="64"/>
      <c r="H47" s="64"/>
      <c r="I47" s="64"/>
      <c r="J47" s="64"/>
      <c r="K47" s="64"/>
      <c r="L47" s="82"/>
      <c r="M47" s="82"/>
      <c r="N47" s="82"/>
    </row>
    <row r="48" spans="1:14" s="77" customFormat="1" ht="22.5" customHeight="1" x14ac:dyDescent="0.25">
      <c r="A48" s="63"/>
      <c r="B48" s="193"/>
      <c r="C48" s="193"/>
      <c r="D48" s="65" t="s">
        <v>1524</v>
      </c>
      <c r="E48" s="64">
        <v>28</v>
      </c>
      <c r="F48" s="65" t="s">
        <v>1462</v>
      </c>
      <c r="G48" s="64"/>
      <c r="H48" s="64"/>
      <c r="I48" s="64"/>
      <c r="J48" s="64"/>
      <c r="K48" s="64"/>
      <c r="L48" s="82"/>
      <c r="M48" s="82"/>
      <c r="N48" s="82"/>
    </row>
    <row r="49" spans="1:14" s="77" customFormat="1" ht="22.5" customHeight="1" x14ac:dyDescent="0.25">
      <c r="A49" s="63"/>
      <c r="B49" s="193"/>
      <c r="C49" s="193"/>
      <c r="D49" s="65" t="s">
        <v>1525</v>
      </c>
      <c r="E49" s="64">
        <v>29</v>
      </c>
      <c r="F49" s="65" t="s">
        <v>1462</v>
      </c>
      <c r="G49" s="64"/>
      <c r="H49" s="64"/>
      <c r="I49" s="64"/>
      <c r="J49" s="64"/>
      <c r="K49" s="64"/>
      <c r="L49" s="82"/>
      <c r="M49" s="82"/>
      <c r="N49" s="82"/>
    </row>
    <row r="50" spans="1:14" s="77" customFormat="1" ht="22.5" customHeight="1" x14ac:dyDescent="0.25">
      <c r="A50" s="63"/>
      <c r="B50" s="193"/>
      <c r="C50" s="193"/>
      <c r="D50" s="65" t="s">
        <v>1526</v>
      </c>
      <c r="E50" s="64">
        <v>37</v>
      </c>
      <c r="F50" s="65" t="s">
        <v>1462</v>
      </c>
      <c r="G50" s="64"/>
      <c r="H50" s="64"/>
      <c r="I50" s="64"/>
      <c r="J50" s="64"/>
      <c r="K50" s="64"/>
      <c r="L50" s="82"/>
      <c r="M50" s="82"/>
      <c r="N50" s="82"/>
    </row>
    <row r="51" spans="1:14" s="77" customFormat="1" ht="22.5" customHeight="1" x14ac:dyDescent="0.25">
      <c r="A51" s="63"/>
      <c r="B51" s="193"/>
      <c r="C51" s="193"/>
      <c r="D51" s="65" t="s">
        <v>1527</v>
      </c>
      <c r="E51" s="64">
        <v>32</v>
      </c>
      <c r="F51" s="65" t="s">
        <v>1462</v>
      </c>
      <c r="G51" s="64"/>
      <c r="H51" s="64"/>
      <c r="I51" s="64"/>
      <c r="J51" s="64"/>
      <c r="K51" s="64"/>
      <c r="L51" s="82"/>
      <c r="M51" s="82"/>
      <c r="N51" s="82"/>
    </row>
    <row r="52" spans="1:14" s="77" customFormat="1" ht="22.5" customHeight="1" x14ac:dyDescent="0.25">
      <c r="A52" s="63"/>
      <c r="B52" s="194"/>
      <c r="C52" s="194"/>
      <c r="D52" s="65" t="s">
        <v>1528</v>
      </c>
      <c r="E52" s="64">
        <v>19</v>
      </c>
      <c r="F52" s="65" t="s">
        <v>1462</v>
      </c>
      <c r="G52" s="64"/>
      <c r="H52" s="64"/>
      <c r="I52" s="64"/>
      <c r="J52" s="64"/>
      <c r="K52" s="64"/>
      <c r="L52" s="82"/>
      <c r="M52" s="82"/>
      <c r="N52" s="82"/>
    </row>
    <row r="53" spans="1:14" s="77" customFormat="1" ht="22.5" customHeight="1" x14ac:dyDescent="0.25">
      <c r="A53" s="63">
        <v>5</v>
      </c>
      <c r="B53" s="192" t="s">
        <v>1529</v>
      </c>
      <c r="C53" s="195" t="s">
        <v>1530</v>
      </c>
      <c r="D53" s="66" t="s">
        <v>1531</v>
      </c>
      <c r="E53" s="67" t="s">
        <v>1532</v>
      </c>
      <c r="F53" s="65" t="s">
        <v>1462</v>
      </c>
      <c r="G53" s="64"/>
      <c r="H53" s="64"/>
      <c r="I53" s="64"/>
      <c r="J53" s="64"/>
      <c r="K53" s="64"/>
      <c r="L53" s="82" t="s">
        <v>1488</v>
      </c>
      <c r="M53" s="82"/>
      <c r="N53" s="82"/>
    </row>
    <row r="54" spans="1:14" s="77" customFormat="1" ht="22.5" customHeight="1" x14ac:dyDescent="0.25">
      <c r="A54" s="63"/>
      <c r="B54" s="193"/>
      <c r="C54" s="196"/>
      <c r="D54" s="66" t="s">
        <v>1533</v>
      </c>
      <c r="E54" s="67" t="s">
        <v>1534</v>
      </c>
      <c r="F54" s="65" t="s">
        <v>1535</v>
      </c>
      <c r="G54" s="64"/>
      <c r="H54" s="64"/>
      <c r="I54" s="64"/>
      <c r="J54" s="64"/>
      <c r="K54" s="64"/>
      <c r="L54" s="82" t="s">
        <v>1491</v>
      </c>
      <c r="M54" s="82"/>
      <c r="N54" s="82"/>
    </row>
    <row r="55" spans="1:14" s="77" customFormat="1" ht="22.5" customHeight="1" x14ac:dyDescent="0.25">
      <c r="A55" s="63"/>
      <c r="B55" s="193"/>
      <c r="C55" s="196"/>
      <c r="D55" s="66" t="s">
        <v>1536</v>
      </c>
      <c r="E55" s="67" t="s">
        <v>1537</v>
      </c>
      <c r="F55" s="65" t="s">
        <v>1462</v>
      </c>
      <c r="G55" s="64"/>
      <c r="H55" s="64"/>
      <c r="I55" s="64"/>
      <c r="J55" s="64"/>
      <c r="K55" s="64"/>
      <c r="L55" s="82" t="s">
        <v>1468</v>
      </c>
      <c r="M55" s="82"/>
      <c r="N55" s="82"/>
    </row>
    <row r="56" spans="1:14" s="77" customFormat="1" ht="22.5" customHeight="1" x14ac:dyDescent="0.25">
      <c r="A56" s="63"/>
      <c r="B56" s="193"/>
      <c r="C56" s="196"/>
      <c r="D56" s="66" t="s">
        <v>1538</v>
      </c>
      <c r="E56" s="67" t="s">
        <v>1539</v>
      </c>
      <c r="F56" s="65" t="s">
        <v>1462</v>
      </c>
      <c r="G56" s="64"/>
      <c r="H56" s="64"/>
      <c r="I56" s="64"/>
      <c r="J56" s="64"/>
      <c r="K56" s="64"/>
      <c r="L56" s="82" t="s">
        <v>1494</v>
      </c>
      <c r="M56" s="82"/>
      <c r="N56" s="82"/>
    </row>
    <row r="57" spans="1:14" s="77" customFormat="1" ht="22.5" customHeight="1" x14ac:dyDescent="0.25">
      <c r="A57" s="63"/>
      <c r="B57" s="193"/>
      <c r="C57" s="196"/>
      <c r="D57" s="66" t="s">
        <v>1540</v>
      </c>
      <c r="E57" s="67" t="s">
        <v>1541</v>
      </c>
      <c r="F57" s="65" t="s">
        <v>1462</v>
      </c>
      <c r="G57" s="64"/>
      <c r="H57" s="64"/>
      <c r="I57" s="64"/>
      <c r="J57" s="64"/>
      <c r="K57" s="64"/>
      <c r="L57" s="82" t="s">
        <v>1497</v>
      </c>
      <c r="M57" s="82"/>
      <c r="N57" s="82"/>
    </row>
    <row r="58" spans="1:14" s="77" customFormat="1" ht="22.5" customHeight="1" x14ac:dyDescent="0.25">
      <c r="A58" s="63"/>
      <c r="B58" s="193"/>
      <c r="C58" s="196"/>
      <c r="D58" s="66" t="s">
        <v>1542</v>
      </c>
      <c r="E58" s="67" t="s">
        <v>1543</v>
      </c>
      <c r="F58" s="65" t="s">
        <v>1462</v>
      </c>
      <c r="G58" s="64"/>
      <c r="H58" s="64"/>
      <c r="I58" s="64"/>
      <c r="J58" s="64"/>
      <c r="K58" s="64"/>
      <c r="L58" s="82" t="s">
        <v>1464</v>
      </c>
      <c r="M58" s="82"/>
      <c r="N58" s="82"/>
    </row>
    <row r="59" spans="1:14" s="77" customFormat="1" ht="22.5" customHeight="1" x14ac:dyDescent="0.25">
      <c r="A59" s="63"/>
      <c r="B59" s="193"/>
      <c r="C59" s="196"/>
      <c r="D59" s="66" t="s">
        <v>1544</v>
      </c>
      <c r="E59" s="67" t="s">
        <v>1545</v>
      </c>
      <c r="F59" s="65" t="s">
        <v>1462</v>
      </c>
      <c r="G59" s="64"/>
      <c r="H59" s="64"/>
      <c r="I59" s="64"/>
      <c r="J59" s="64"/>
      <c r="K59" s="64"/>
      <c r="L59" s="82"/>
      <c r="M59" s="82"/>
      <c r="N59" s="82"/>
    </row>
    <row r="60" spans="1:14" s="77" customFormat="1" ht="22.5" customHeight="1" x14ac:dyDescent="0.25">
      <c r="A60" s="63"/>
      <c r="B60" s="193"/>
      <c r="C60" s="196"/>
      <c r="D60" s="66" t="s">
        <v>1546</v>
      </c>
      <c r="E60" s="67" t="s">
        <v>1547</v>
      </c>
      <c r="F60" s="65" t="s">
        <v>1462</v>
      </c>
      <c r="G60" s="64"/>
      <c r="H60" s="64"/>
      <c r="I60" s="64"/>
      <c r="J60" s="64"/>
      <c r="K60" s="64"/>
      <c r="L60" s="82"/>
      <c r="M60" s="82"/>
      <c r="N60" s="82"/>
    </row>
    <row r="61" spans="1:14" s="77" customFormat="1" ht="22.5" customHeight="1" x14ac:dyDescent="0.25">
      <c r="A61" s="63"/>
      <c r="B61" s="193"/>
      <c r="C61" s="196"/>
      <c r="D61" s="66" t="s">
        <v>1548</v>
      </c>
      <c r="E61" s="67" t="s">
        <v>1549</v>
      </c>
      <c r="F61" s="65" t="s">
        <v>1458</v>
      </c>
      <c r="G61" s="64"/>
      <c r="H61" s="64"/>
      <c r="I61" s="64"/>
      <c r="J61" s="64"/>
      <c r="K61" s="64"/>
      <c r="L61" s="82"/>
      <c r="M61" s="82"/>
      <c r="N61" s="82"/>
    </row>
    <row r="62" spans="1:14" s="77" customFormat="1" ht="22.5" customHeight="1" x14ac:dyDescent="0.25">
      <c r="A62" s="63"/>
      <c r="B62" s="193"/>
      <c r="C62" s="196"/>
      <c r="D62" s="66" t="s">
        <v>1550</v>
      </c>
      <c r="E62" s="67" t="s">
        <v>1551</v>
      </c>
      <c r="F62" s="65" t="s">
        <v>1462</v>
      </c>
      <c r="G62" s="64"/>
      <c r="H62" s="64"/>
      <c r="I62" s="64"/>
      <c r="J62" s="64"/>
      <c r="K62" s="64"/>
      <c r="L62" s="82"/>
      <c r="M62" s="82"/>
      <c r="N62" s="82"/>
    </row>
    <row r="63" spans="1:14" s="77" customFormat="1" ht="22.5" customHeight="1" x14ac:dyDescent="0.25">
      <c r="A63" s="63"/>
      <c r="B63" s="193"/>
      <c r="C63" s="196"/>
      <c r="D63" s="66" t="s">
        <v>1552</v>
      </c>
      <c r="E63" s="67" t="s">
        <v>1553</v>
      </c>
      <c r="F63" s="65" t="s">
        <v>1462</v>
      </c>
      <c r="G63" s="64"/>
      <c r="H63" s="64"/>
      <c r="I63" s="64"/>
      <c r="J63" s="64"/>
      <c r="K63" s="64"/>
      <c r="L63" s="82"/>
      <c r="M63" s="82"/>
      <c r="N63" s="82"/>
    </row>
    <row r="64" spans="1:14" s="77" customFormat="1" ht="22.5" customHeight="1" x14ac:dyDescent="0.25">
      <c r="A64" s="63"/>
      <c r="B64" s="193"/>
      <c r="C64" s="196"/>
      <c r="D64" s="66" t="s">
        <v>1554</v>
      </c>
      <c r="E64" s="67" t="s">
        <v>1555</v>
      </c>
      <c r="F64" s="65" t="s">
        <v>1462</v>
      </c>
      <c r="G64" s="75"/>
      <c r="H64" s="75"/>
      <c r="I64" s="75"/>
      <c r="J64" s="75"/>
      <c r="K64" s="75"/>
      <c r="L64" s="83"/>
      <c r="M64" s="83"/>
      <c r="N64" s="83"/>
    </row>
    <row r="65" spans="1:14" s="77" customFormat="1" ht="22.5" customHeight="1" x14ac:dyDescent="0.25">
      <c r="A65" s="63"/>
      <c r="B65" s="193"/>
      <c r="C65" s="196"/>
      <c r="D65" s="66" t="s">
        <v>1556</v>
      </c>
      <c r="E65" s="67" t="s">
        <v>1557</v>
      </c>
      <c r="F65" s="59" t="s">
        <v>1503</v>
      </c>
      <c r="G65" s="75"/>
      <c r="H65" s="75"/>
      <c r="I65" s="75"/>
      <c r="J65" s="75"/>
      <c r="K65" s="75"/>
      <c r="L65" s="83"/>
      <c r="M65" s="83"/>
      <c r="N65" s="83"/>
    </row>
    <row r="66" spans="1:14" s="77" customFormat="1" ht="22.5" customHeight="1" x14ac:dyDescent="0.25">
      <c r="A66" s="63"/>
      <c r="B66" s="194"/>
      <c r="C66" s="197"/>
      <c r="D66" s="66" t="s">
        <v>1558</v>
      </c>
      <c r="E66" s="67" t="s">
        <v>1559</v>
      </c>
      <c r="F66" s="59" t="s">
        <v>1496</v>
      </c>
      <c r="G66" s="75"/>
      <c r="H66" s="75"/>
      <c r="I66" s="75"/>
      <c r="J66" s="75"/>
      <c r="K66" s="75"/>
      <c r="L66" s="83"/>
      <c r="M66" s="83"/>
      <c r="N66" s="83"/>
    </row>
    <row r="67" spans="1:14" s="77" customFormat="1" ht="22.5" customHeight="1" x14ac:dyDescent="0.25">
      <c r="A67" s="68">
        <v>6</v>
      </c>
      <c r="B67" s="198" t="s">
        <v>1560</v>
      </c>
      <c r="C67" s="198" t="s">
        <v>1561</v>
      </c>
      <c r="D67" s="69" t="s">
        <v>1562</v>
      </c>
      <c r="E67" s="70">
        <v>33</v>
      </c>
      <c r="F67" s="69" t="s">
        <v>1462</v>
      </c>
      <c r="G67" s="70">
        <v>1</v>
      </c>
      <c r="H67" s="70" t="s">
        <v>1563</v>
      </c>
      <c r="I67" s="70"/>
      <c r="J67" s="70"/>
      <c r="K67" s="70"/>
      <c r="L67" s="84" t="s">
        <v>1459</v>
      </c>
      <c r="M67" s="84" t="s">
        <v>1564</v>
      </c>
      <c r="N67" s="84"/>
    </row>
    <row r="68" spans="1:14" s="77" customFormat="1" ht="22.5" customHeight="1" x14ac:dyDescent="0.25">
      <c r="A68" s="68"/>
      <c r="B68" s="199"/>
      <c r="C68" s="199"/>
      <c r="D68" s="69" t="s">
        <v>1565</v>
      </c>
      <c r="E68" s="70">
        <v>30</v>
      </c>
      <c r="F68" s="69" t="s">
        <v>1458</v>
      </c>
      <c r="G68" s="70"/>
      <c r="H68" s="70"/>
      <c r="I68" s="70"/>
      <c r="J68" s="70"/>
      <c r="K68" s="70"/>
      <c r="L68" s="84" t="s">
        <v>1566</v>
      </c>
      <c r="M68" s="84" t="s">
        <v>1567</v>
      </c>
      <c r="N68" s="84"/>
    </row>
    <row r="69" spans="1:14" s="77" customFormat="1" ht="22.5" customHeight="1" x14ac:dyDescent="0.25">
      <c r="A69" s="68"/>
      <c r="B69" s="199"/>
      <c r="C69" s="199"/>
      <c r="D69" s="69" t="s">
        <v>1568</v>
      </c>
      <c r="E69" s="70">
        <v>35</v>
      </c>
      <c r="F69" s="69" t="s">
        <v>1462</v>
      </c>
      <c r="G69" s="70"/>
      <c r="H69" s="70"/>
      <c r="I69" s="70"/>
      <c r="J69" s="70"/>
      <c r="K69" s="70"/>
      <c r="L69" s="84" t="s">
        <v>1569</v>
      </c>
      <c r="M69" s="84"/>
      <c r="N69" s="84"/>
    </row>
    <row r="70" spans="1:14" s="77" customFormat="1" ht="22.5" customHeight="1" x14ac:dyDescent="0.25">
      <c r="A70" s="68"/>
      <c r="B70" s="199"/>
      <c r="C70" s="199"/>
      <c r="D70" s="69" t="s">
        <v>1570</v>
      </c>
      <c r="E70" s="70">
        <v>29</v>
      </c>
      <c r="F70" s="69" t="s">
        <v>1462</v>
      </c>
      <c r="G70" s="70"/>
      <c r="H70" s="70"/>
      <c r="I70" s="70"/>
      <c r="J70" s="70"/>
      <c r="K70" s="70"/>
      <c r="L70" s="84" t="s">
        <v>1571</v>
      </c>
      <c r="M70" s="84"/>
      <c r="N70" s="84"/>
    </row>
    <row r="71" spans="1:14" s="77" customFormat="1" ht="33.75" customHeight="1" x14ac:dyDescent="0.25">
      <c r="A71" s="68"/>
      <c r="B71" s="199"/>
      <c r="C71" s="199"/>
      <c r="D71" s="69" t="s">
        <v>1572</v>
      </c>
      <c r="E71" s="70">
        <v>31</v>
      </c>
      <c r="F71" s="69" t="s">
        <v>1462</v>
      </c>
      <c r="G71" s="70"/>
      <c r="H71" s="70"/>
      <c r="I71" s="70"/>
      <c r="J71" s="70"/>
      <c r="K71" s="70"/>
      <c r="L71" s="86" t="s">
        <v>1573</v>
      </c>
      <c r="M71" s="84"/>
      <c r="N71" s="84"/>
    </row>
    <row r="72" spans="1:14" s="77" customFormat="1" ht="22.5" customHeight="1" x14ac:dyDescent="0.25">
      <c r="A72" s="68"/>
      <c r="B72" s="199"/>
      <c r="C72" s="199"/>
      <c r="D72" s="69" t="s">
        <v>1574</v>
      </c>
      <c r="E72" s="70">
        <v>34</v>
      </c>
      <c r="F72" s="69" t="s">
        <v>1462</v>
      </c>
      <c r="G72" s="70"/>
      <c r="H72" s="70"/>
      <c r="I72" s="70"/>
      <c r="J72" s="70"/>
      <c r="K72" s="70"/>
      <c r="L72" s="84"/>
      <c r="M72" s="84"/>
      <c r="N72" s="84"/>
    </row>
    <row r="73" spans="1:14" s="77" customFormat="1" ht="22.5" customHeight="1" x14ac:dyDescent="0.25">
      <c r="A73" s="68"/>
      <c r="B73" s="199"/>
      <c r="C73" s="199"/>
      <c r="D73" s="69" t="s">
        <v>1575</v>
      </c>
      <c r="E73" s="70">
        <v>36</v>
      </c>
      <c r="F73" s="69" t="s">
        <v>1458</v>
      </c>
      <c r="G73" s="70"/>
      <c r="H73" s="70"/>
      <c r="I73" s="70"/>
      <c r="J73" s="70"/>
      <c r="K73" s="70"/>
      <c r="L73" s="84"/>
      <c r="M73" s="84"/>
      <c r="N73" s="84"/>
    </row>
    <row r="74" spans="1:14" s="77" customFormat="1" ht="22.5" customHeight="1" x14ac:dyDescent="0.25">
      <c r="A74" s="68"/>
      <c r="B74" s="199"/>
      <c r="C74" s="199"/>
      <c r="D74" s="69" t="s">
        <v>1576</v>
      </c>
      <c r="E74" s="70">
        <v>24</v>
      </c>
      <c r="F74" s="69" t="s">
        <v>1462</v>
      </c>
      <c r="G74" s="70"/>
      <c r="H74" s="70"/>
      <c r="I74" s="70"/>
      <c r="J74" s="70"/>
      <c r="K74" s="70"/>
      <c r="L74" s="84"/>
      <c r="M74" s="84"/>
      <c r="N74" s="84"/>
    </row>
    <row r="75" spans="1:14" s="77" customFormat="1" ht="22.5" customHeight="1" x14ac:dyDescent="0.25">
      <c r="A75" s="68"/>
      <c r="B75" s="199"/>
      <c r="C75" s="199"/>
      <c r="D75" s="69" t="s">
        <v>1577</v>
      </c>
      <c r="E75" s="70">
        <v>42</v>
      </c>
      <c r="F75" s="69" t="s">
        <v>1458</v>
      </c>
      <c r="G75" s="70"/>
      <c r="H75" s="70"/>
      <c r="I75" s="70"/>
      <c r="J75" s="70"/>
      <c r="K75" s="70"/>
      <c r="L75" s="84"/>
      <c r="M75" s="84"/>
      <c r="N75" s="84"/>
    </row>
    <row r="76" spans="1:14" s="77" customFormat="1" ht="22.5" customHeight="1" x14ac:dyDescent="0.25">
      <c r="A76" s="68"/>
      <c r="B76" s="199"/>
      <c r="C76" s="199"/>
      <c r="D76" s="69" t="s">
        <v>1578</v>
      </c>
      <c r="E76" s="70">
        <v>39</v>
      </c>
      <c r="F76" s="69" t="s">
        <v>1462</v>
      </c>
      <c r="G76" s="70"/>
      <c r="H76" s="70"/>
      <c r="I76" s="70"/>
      <c r="J76" s="70"/>
      <c r="K76" s="70"/>
      <c r="L76" s="84"/>
      <c r="M76" s="84"/>
      <c r="N76" s="84"/>
    </row>
    <row r="77" spans="1:14" s="77" customFormat="1" ht="22.5" customHeight="1" x14ac:dyDescent="0.25">
      <c r="A77" s="68"/>
      <c r="B77" s="199"/>
      <c r="C77" s="199"/>
      <c r="D77" s="69" t="s">
        <v>1579</v>
      </c>
      <c r="E77" s="70">
        <v>36</v>
      </c>
      <c r="F77" s="69" t="s">
        <v>1462</v>
      </c>
      <c r="G77" s="70"/>
      <c r="H77" s="70"/>
      <c r="I77" s="70"/>
      <c r="J77" s="70"/>
      <c r="K77" s="70"/>
      <c r="L77" s="84"/>
      <c r="M77" s="84"/>
      <c r="N77" s="84"/>
    </row>
    <row r="78" spans="1:14" s="77" customFormat="1" ht="22.5" customHeight="1" x14ac:dyDescent="0.25">
      <c r="A78" s="68"/>
      <c r="B78" s="199"/>
      <c r="C78" s="199"/>
      <c r="D78" s="69" t="s">
        <v>1580</v>
      </c>
      <c r="E78" s="70">
        <v>21</v>
      </c>
      <c r="F78" s="69" t="s">
        <v>1462</v>
      </c>
      <c r="G78" s="70"/>
      <c r="H78" s="70"/>
      <c r="I78" s="70"/>
      <c r="J78" s="70"/>
      <c r="K78" s="70"/>
      <c r="L78" s="84"/>
      <c r="M78" s="84"/>
      <c r="N78" s="84"/>
    </row>
    <row r="79" spans="1:14" s="77" customFormat="1" ht="22.5" customHeight="1" x14ac:dyDescent="0.25">
      <c r="A79" s="68"/>
      <c r="B79" s="199"/>
      <c r="C79" s="199"/>
      <c r="D79" s="69" t="s">
        <v>1581</v>
      </c>
      <c r="E79" s="70">
        <v>27</v>
      </c>
      <c r="F79" s="69" t="s">
        <v>1458</v>
      </c>
      <c r="G79" s="70"/>
      <c r="H79" s="70"/>
      <c r="I79" s="70"/>
      <c r="J79" s="70"/>
      <c r="K79" s="70"/>
      <c r="L79" s="84"/>
      <c r="M79" s="84"/>
      <c r="N79" s="84"/>
    </row>
    <row r="80" spans="1:14" s="77" customFormat="1" ht="22.5" customHeight="1" x14ac:dyDescent="0.25">
      <c r="A80" s="68"/>
      <c r="B80" s="199"/>
      <c r="C80" s="199"/>
      <c r="D80" s="69" t="s">
        <v>1582</v>
      </c>
      <c r="E80" s="70">
        <v>22</v>
      </c>
      <c r="F80" s="69" t="s">
        <v>1462</v>
      </c>
      <c r="G80" s="70"/>
      <c r="H80" s="70"/>
      <c r="I80" s="70"/>
      <c r="J80" s="70"/>
      <c r="K80" s="70"/>
      <c r="L80" s="84"/>
      <c r="M80" s="84"/>
      <c r="N80" s="84"/>
    </row>
    <row r="81" spans="1:14" s="77" customFormat="1" ht="22.5" customHeight="1" x14ac:dyDescent="0.25">
      <c r="A81" s="68"/>
      <c r="B81" s="200"/>
      <c r="C81" s="200"/>
      <c r="D81" s="69" t="s">
        <v>1583</v>
      </c>
      <c r="E81" s="70">
        <v>30</v>
      </c>
      <c r="F81" s="69" t="s">
        <v>1462</v>
      </c>
      <c r="G81" s="70"/>
      <c r="H81" s="70"/>
      <c r="I81" s="70"/>
      <c r="J81" s="70"/>
      <c r="K81" s="70"/>
      <c r="L81" s="84"/>
      <c r="M81" s="84"/>
      <c r="N81" s="84"/>
    </row>
    <row r="82" spans="1:14" s="77" customFormat="1" ht="22.5" customHeight="1" x14ac:dyDescent="0.25">
      <c r="A82" s="91"/>
      <c r="B82" s="92"/>
      <c r="C82" s="92"/>
      <c r="D82" s="93"/>
      <c r="E82" s="94"/>
      <c r="F82" s="93"/>
      <c r="G82" s="94"/>
      <c r="H82" s="94"/>
      <c r="I82" s="94"/>
      <c r="J82" s="94"/>
      <c r="K82" s="94"/>
      <c r="L82" s="95"/>
      <c r="M82" s="95"/>
      <c r="N82" s="95"/>
    </row>
    <row r="83" spans="1:14" s="77" customFormat="1" ht="22.5" customHeight="1" x14ac:dyDescent="0.25">
      <c r="A83" s="71"/>
      <c r="B83" s="80"/>
      <c r="C83" s="80"/>
      <c r="D83" s="72"/>
      <c r="E83" s="73"/>
      <c r="F83" s="72"/>
      <c r="G83" s="72"/>
      <c r="H83" s="72"/>
      <c r="I83" s="72"/>
      <c r="J83" s="72"/>
      <c r="K83" s="72"/>
      <c r="L83" s="85"/>
      <c r="M83" s="85"/>
      <c r="N83" s="85"/>
    </row>
    <row r="84" spans="1:14" s="77" customFormat="1" ht="22.5" customHeight="1" x14ac:dyDescent="0.25">
      <c r="A84" s="71"/>
      <c r="B84" s="80"/>
      <c r="C84" s="80"/>
      <c r="D84" s="72"/>
      <c r="E84" s="73"/>
      <c r="F84" s="72"/>
      <c r="G84" s="72"/>
      <c r="H84" s="72"/>
      <c r="I84" s="72"/>
      <c r="J84" s="72"/>
      <c r="K84" s="72"/>
      <c r="L84" s="85"/>
      <c r="M84" s="85"/>
      <c r="N84" s="85"/>
    </row>
    <row r="85" spans="1:14" s="77" customFormat="1" ht="22.5" customHeight="1" x14ac:dyDescent="0.25">
      <c r="A85" s="71"/>
      <c r="B85" s="80"/>
      <c r="C85" s="80"/>
      <c r="D85" s="72"/>
      <c r="E85" s="73"/>
      <c r="F85" s="72"/>
      <c r="G85" s="72"/>
      <c r="H85" s="72"/>
      <c r="I85" s="72"/>
      <c r="J85" s="72"/>
      <c r="K85" s="72"/>
      <c r="L85" s="85"/>
      <c r="M85" s="85"/>
      <c r="N85" s="85"/>
    </row>
    <row r="86" spans="1:14" s="77" customFormat="1" ht="22.5" customHeight="1" x14ac:dyDescent="0.25">
      <c r="A86" s="71"/>
      <c r="B86" s="80"/>
      <c r="C86" s="80"/>
      <c r="D86" s="72"/>
      <c r="E86" s="73"/>
      <c r="F86" s="72"/>
      <c r="G86" s="72"/>
      <c r="H86" s="72"/>
      <c r="I86" s="72"/>
      <c r="J86" s="72"/>
      <c r="K86" s="72"/>
      <c r="L86" s="85"/>
      <c r="M86" s="85"/>
      <c r="N86" s="85"/>
    </row>
    <row r="87" spans="1:14" s="77" customFormat="1" ht="22.5" customHeight="1" x14ac:dyDescent="0.25">
      <c r="A87" s="71"/>
      <c r="B87" s="80"/>
      <c r="C87" s="80"/>
      <c r="D87" s="72"/>
      <c r="E87" s="73"/>
      <c r="F87" s="72"/>
      <c r="G87" s="72"/>
      <c r="H87" s="72"/>
      <c r="I87" s="72"/>
      <c r="J87" s="72"/>
      <c r="K87" s="72"/>
      <c r="L87" s="85"/>
      <c r="M87" s="85"/>
      <c r="N87" s="85"/>
    </row>
    <row r="88" spans="1:14" s="77" customFormat="1" ht="22.5" customHeight="1" x14ac:dyDescent="0.25">
      <c r="A88" s="71"/>
      <c r="B88" s="80"/>
      <c r="C88" s="80"/>
      <c r="D88" s="72"/>
      <c r="E88" s="73"/>
      <c r="F88" s="72"/>
      <c r="G88" s="72"/>
      <c r="H88" s="72"/>
      <c r="I88" s="72"/>
      <c r="J88" s="72"/>
      <c r="K88" s="72"/>
      <c r="L88" s="85"/>
      <c r="M88" s="85"/>
      <c r="N88" s="85"/>
    </row>
    <row r="89" spans="1:14" s="77" customFormat="1" ht="22.5" customHeight="1" x14ac:dyDescent="0.25">
      <c r="A89" s="71"/>
      <c r="B89" s="80"/>
      <c r="C89" s="80"/>
      <c r="D89" s="72"/>
      <c r="E89" s="73"/>
      <c r="F89" s="72"/>
      <c r="G89" s="72"/>
      <c r="H89" s="72"/>
      <c r="I89" s="72"/>
      <c r="J89" s="72"/>
      <c r="K89" s="72"/>
      <c r="L89" s="85"/>
      <c r="M89" s="85"/>
      <c r="N89" s="85"/>
    </row>
    <row r="90" spans="1:14" s="77" customFormat="1" ht="22.5" customHeight="1" x14ac:dyDescent="0.25">
      <c r="A90" s="71"/>
      <c r="B90" s="80"/>
      <c r="C90" s="80"/>
      <c r="D90" s="72"/>
      <c r="E90" s="73"/>
      <c r="F90" s="72"/>
      <c r="G90" s="72"/>
      <c r="H90" s="72"/>
      <c r="I90" s="72"/>
      <c r="J90" s="72"/>
      <c r="K90" s="72"/>
      <c r="L90" s="85"/>
      <c r="M90" s="85"/>
      <c r="N90" s="85"/>
    </row>
    <row r="91" spans="1:14" s="77" customFormat="1" ht="22.5" customHeight="1" x14ac:dyDescent="0.25">
      <c r="A91" s="74"/>
      <c r="B91" s="80"/>
      <c r="C91" s="80"/>
      <c r="D91" s="72"/>
      <c r="E91" s="73"/>
      <c r="F91" s="72"/>
      <c r="G91" s="72"/>
      <c r="H91" s="72"/>
      <c r="I91" s="72"/>
      <c r="J91" s="72"/>
      <c r="K91" s="72"/>
      <c r="L91" s="85"/>
      <c r="M91" s="85"/>
      <c r="N91" s="85"/>
    </row>
    <row r="92" spans="1:14" s="77" customFormat="1" ht="22.5" customHeight="1" x14ac:dyDescent="0.25">
      <c r="A92" s="74"/>
      <c r="B92" s="80"/>
      <c r="C92" s="80"/>
      <c r="D92" s="72"/>
      <c r="E92" s="73"/>
      <c r="F92" s="72"/>
      <c r="G92" s="72"/>
      <c r="H92" s="72"/>
      <c r="I92" s="72"/>
      <c r="J92" s="72"/>
      <c r="K92" s="72"/>
      <c r="L92" s="85"/>
      <c r="M92" s="85"/>
      <c r="N92" s="85"/>
    </row>
    <row r="93" spans="1:14" s="77" customFormat="1" ht="22.5" customHeight="1" x14ac:dyDescent="0.25">
      <c r="A93" s="74"/>
      <c r="B93" s="80"/>
      <c r="C93" s="80"/>
      <c r="D93" s="72"/>
      <c r="E93" s="73"/>
      <c r="F93" s="72"/>
      <c r="G93" s="72"/>
      <c r="H93" s="72"/>
      <c r="I93" s="72"/>
      <c r="J93" s="72"/>
      <c r="K93" s="72"/>
      <c r="L93" s="85"/>
      <c r="M93" s="85"/>
      <c r="N93" s="85"/>
    </row>
    <row r="94" spans="1:14" s="77" customFormat="1" ht="22.5" customHeight="1" x14ac:dyDescent="0.25">
      <c r="A94" s="74"/>
      <c r="B94" s="80"/>
      <c r="C94" s="80"/>
      <c r="D94" s="72"/>
      <c r="E94" s="73"/>
      <c r="F94" s="72"/>
      <c r="G94" s="72"/>
      <c r="H94" s="72"/>
      <c r="I94" s="72"/>
      <c r="J94" s="72"/>
      <c r="K94" s="72"/>
      <c r="L94" s="85"/>
      <c r="M94" s="85"/>
      <c r="N94" s="85"/>
    </row>
    <row r="95" spans="1:14" s="77" customFormat="1" ht="22.5" customHeight="1" x14ac:dyDescent="0.25">
      <c r="A95" s="74"/>
      <c r="B95" s="80"/>
      <c r="C95" s="80"/>
      <c r="D95" s="72"/>
      <c r="E95" s="73"/>
      <c r="F95" s="72"/>
      <c r="G95" s="72"/>
      <c r="H95" s="72"/>
      <c r="I95" s="72"/>
      <c r="J95" s="72"/>
      <c r="K95" s="72"/>
      <c r="L95" s="85"/>
      <c r="M95" s="85"/>
      <c r="N95" s="85"/>
    </row>
    <row r="96" spans="1:14" s="77" customFormat="1" ht="22.5" customHeight="1" x14ac:dyDescent="0.25">
      <c r="A96" s="74"/>
      <c r="B96" s="80"/>
      <c r="C96" s="80"/>
      <c r="D96" s="72"/>
      <c r="E96" s="73"/>
      <c r="F96" s="72"/>
      <c r="G96" s="72"/>
      <c r="H96" s="72"/>
      <c r="I96" s="72"/>
      <c r="J96" s="72"/>
      <c r="K96" s="72"/>
      <c r="L96" s="85"/>
      <c r="M96" s="85"/>
      <c r="N96" s="85"/>
    </row>
    <row r="97" spans="1:14" s="77" customFormat="1" ht="22.5" customHeight="1" x14ac:dyDescent="0.25">
      <c r="A97" s="74"/>
      <c r="B97" s="80"/>
      <c r="C97" s="80"/>
      <c r="D97" s="72"/>
      <c r="E97" s="73"/>
      <c r="F97" s="72"/>
      <c r="G97" s="72"/>
      <c r="H97" s="72"/>
      <c r="I97" s="72"/>
      <c r="J97" s="72"/>
      <c r="K97" s="72"/>
      <c r="L97" s="85"/>
      <c r="M97" s="85"/>
      <c r="N97" s="85"/>
    </row>
    <row r="98" spans="1:14" s="77" customFormat="1" ht="22.5" customHeight="1" x14ac:dyDescent="0.25">
      <c r="A98" s="74"/>
      <c r="B98" s="80"/>
      <c r="C98" s="80"/>
      <c r="D98" s="72"/>
      <c r="E98" s="73"/>
      <c r="F98" s="72"/>
      <c r="G98" s="72"/>
      <c r="H98" s="72"/>
      <c r="I98" s="72"/>
      <c r="J98" s="72"/>
      <c r="K98" s="72"/>
      <c r="L98" s="85"/>
      <c r="M98" s="85"/>
      <c r="N98" s="85"/>
    </row>
    <row r="99" spans="1:14" s="77" customFormat="1" ht="22.5" customHeight="1" x14ac:dyDescent="0.25">
      <c r="A99" s="74"/>
      <c r="B99" s="80"/>
      <c r="C99" s="80"/>
      <c r="D99" s="72"/>
      <c r="E99" s="73"/>
      <c r="F99" s="72"/>
      <c r="G99" s="72"/>
      <c r="H99" s="72"/>
      <c r="I99" s="72"/>
      <c r="J99" s="72"/>
      <c r="K99" s="72"/>
      <c r="L99" s="85"/>
      <c r="M99" s="85"/>
      <c r="N99" s="85"/>
    </row>
    <row r="100" spans="1:14" s="77" customFormat="1" ht="22.5" customHeight="1" x14ac:dyDescent="0.25">
      <c r="A100" s="74"/>
      <c r="B100" s="80"/>
      <c r="C100" s="80"/>
      <c r="D100" s="72"/>
      <c r="E100" s="73"/>
      <c r="F100" s="72"/>
      <c r="G100" s="72"/>
      <c r="H100" s="72"/>
      <c r="I100" s="72"/>
      <c r="J100" s="72"/>
      <c r="K100" s="72"/>
      <c r="L100" s="85"/>
      <c r="M100" s="85"/>
      <c r="N100" s="85"/>
    </row>
    <row r="101" spans="1:14" s="77" customFormat="1" ht="22.5" customHeight="1" x14ac:dyDescent="0.25">
      <c r="A101" s="74"/>
      <c r="B101" s="80"/>
      <c r="C101" s="80"/>
      <c r="D101" s="72"/>
      <c r="E101" s="73"/>
      <c r="F101" s="72"/>
      <c r="G101" s="72"/>
      <c r="H101" s="72"/>
      <c r="I101" s="72"/>
      <c r="J101" s="72"/>
      <c r="K101" s="72"/>
      <c r="L101" s="85"/>
      <c r="M101" s="85"/>
      <c r="N101" s="85"/>
    </row>
    <row r="102" spans="1:14" ht="22.5" customHeight="1" x14ac:dyDescent="0.25">
      <c r="A102" s="56"/>
      <c r="E102" s="57"/>
      <c r="L102" s="54"/>
      <c r="M102" s="54"/>
      <c r="N102" s="54"/>
    </row>
    <row r="103" spans="1:14" ht="22.5" customHeight="1" x14ac:dyDescent="0.25">
      <c r="A103" s="56"/>
      <c r="E103" s="57"/>
      <c r="L103" s="54"/>
      <c r="M103" s="54"/>
      <c r="N103" s="54"/>
    </row>
    <row r="104" spans="1:14" ht="22.5" customHeight="1" x14ac:dyDescent="0.25">
      <c r="A104" s="56"/>
      <c r="E104" s="57"/>
      <c r="L104" s="54"/>
      <c r="M104" s="54"/>
      <c r="N104" s="54"/>
    </row>
    <row r="105" spans="1:14" ht="22.5" customHeight="1" x14ac:dyDescent="0.25">
      <c r="A105" s="56"/>
      <c r="E105" s="57"/>
      <c r="L105" s="54"/>
      <c r="M105" s="54"/>
      <c r="N105" s="54"/>
    </row>
    <row r="106" spans="1:14" ht="22.5" customHeight="1" x14ac:dyDescent="0.25">
      <c r="A106" s="56"/>
      <c r="E106" s="57"/>
      <c r="L106" s="54"/>
      <c r="M106" s="54"/>
      <c r="N106" s="54"/>
    </row>
    <row r="107" spans="1:14" ht="22.5" customHeight="1" x14ac:dyDescent="0.25">
      <c r="A107" s="56"/>
      <c r="E107" s="57"/>
      <c r="L107" s="54"/>
      <c r="M107" s="54"/>
      <c r="N107" s="54"/>
    </row>
    <row r="108" spans="1:14" ht="22.5" customHeight="1" x14ac:dyDescent="0.25">
      <c r="A108" s="56"/>
      <c r="E108" s="57"/>
      <c r="L108" s="54"/>
      <c r="M108" s="54"/>
      <c r="N108" s="54"/>
    </row>
    <row r="109" spans="1:14" ht="22.5" customHeight="1" x14ac:dyDescent="0.25">
      <c r="A109" s="56"/>
      <c r="E109" s="57"/>
      <c r="L109" s="54"/>
      <c r="M109" s="54"/>
      <c r="N109" s="54"/>
    </row>
    <row r="110" spans="1:14" ht="22.5" customHeight="1" x14ac:dyDescent="0.25">
      <c r="A110" s="56"/>
      <c r="E110" s="57"/>
      <c r="L110" s="54"/>
      <c r="M110" s="54"/>
      <c r="N110" s="54"/>
    </row>
    <row r="111" spans="1:14" ht="22.5" customHeight="1" x14ac:dyDescent="0.25">
      <c r="A111" s="56"/>
      <c r="E111" s="57"/>
      <c r="L111" s="54"/>
      <c r="M111" s="54"/>
      <c r="N111" s="54"/>
    </row>
    <row r="112" spans="1:14" ht="22.5" customHeight="1" x14ac:dyDescent="0.25">
      <c r="A112" s="56"/>
      <c r="E112" s="57"/>
      <c r="L112" s="54"/>
      <c r="M112" s="54"/>
      <c r="N112" s="54"/>
    </row>
    <row r="113" spans="1:14" ht="22.5" customHeight="1" x14ac:dyDescent="0.25">
      <c r="A113" s="56"/>
      <c r="E113" s="57"/>
      <c r="L113" s="54"/>
      <c r="M113" s="54"/>
      <c r="N113" s="54"/>
    </row>
    <row r="114" spans="1:14" ht="22.5" customHeight="1" x14ac:dyDescent="0.25">
      <c r="A114" s="56"/>
      <c r="E114" s="57"/>
      <c r="L114" s="54"/>
      <c r="M114" s="54"/>
      <c r="N114" s="54"/>
    </row>
    <row r="115" spans="1:14" ht="22.5" customHeight="1" x14ac:dyDescent="0.25">
      <c r="A115" s="56"/>
      <c r="E115" s="57"/>
      <c r="L115" s="54"/>
      <c r="M115" s="54"/>
      <c r="N115" s="54"/>
    </row>
    <row r="116" spans="1:14" ht="22.5" customHeight="1" x14ac:dyDescent="0.25">
      <c r="A116" s="56"/>
      <c r="E116" s="57"/>
      <c r="L116" s="54"/>
      <c r="M116" s="54"/>
      <c r="N116" s="54"/>
    </row>
    <row r="117" spans="1:14" ht="22.5" customHeight="1" x14ac:dyDescent="0.25">
      <c r="A117" s="56"/>
      <c r="E117" s="57"/>
      <c r="L117" s="54"/>
      <c r="M117" s="54"/>
      <c r="N117" s="54"/>
    </row>
    <row r="118" spans="1:14" ht="22.5" customHeight="1" x14ac:dyDescent="0.25">
      <c r="A118" s="56"/>
      <c r="E118" s="57"/>
      <c r="L118" s="54"/>
      <c r="M118" s="54"/>
      <c r="N118" s="54"/>
    </row>
    <row r="119" spans="1:14" ht="22.5" customHeight="1" x14ac:dyDescent="0.25">
      <c r="A119" s="56"/>
      <c r="E119" s="57"/>
      <c r="L119" s="54"/>
      <c r="M119" s="54"/>
      <c r="N119" s="54"/>
    </row>
    <row r="120" spans="1:14" ht="22.5" customHeight="1" x14ac:dyDescent="0.25">
      <c r="A120" s="56"/>
      <c r="E120" s="57"/>
      <c r="L120" s="54"/>
      <c r="M120" s="54"/>
      <c r="N120" s="54"/>
    </row>
    <row r="121" spans="1:14" ht="22.5" customHeight="1" x14ac:dyDescent="0.25">
      <c r="A121" s="56"/>
      <c r="E121" s="57"/>
      <c r="L121" s="54"/>
      <c r="M121" s="54"/>
      <c r="N121" s="54"/>
    </row>
    <row r="122" spans="1:14" ht="22.5" customHeight="1" x14ac:dyDescent="0.25">
      <c r="A122" s="56"/>
      <c r="E122" s="57"/>
      <c r="L122" s="54"/>
      <c r="M122" s="54"/>
      <c r="N122" s="54"/>
    </row>
    <row r="123" spans="1:14" ht="22.5" customHeight="1" x14ac:dyDescent="0.25">
      <c r="A123" s="56"/>
      <c r="E123" s="57"/>
      <c r="L123" s="54"/>
      <c r="M123" s="54"/>
      <c r="N123" s="54"/>
    </row>
    <row r="124" spans="1:14" ht="22.5" customHeight="1" x14ac:dyDescent="0.25">
      <c r="A124" s="56"/>
      <c r="E124" s="57"/>
      <c r="L124" s="54"/>
      <c r="M124" s="54"/>
      <c r="N124" s="54"/>
    </row>
    <row r="125" spans="1:14" ht="22.5" customHeight="1" x14ac:dyDescent="0.25">
      <c r="A125" s="56"/>
      <c r="E125" s="57"/>
      <c r="L125" s="54"/>
      <c r="M125" s="54"/>
      <c r="N125" s="54"/>
    </row>
    <row r="126" spans="1:14" ht="22.5" customHeight="1" x14ac:dyDescent="0.25">
      <c r="A126" s="56"/>
      <c r="E126" s="57"/>
      <c r="L126" s="54"/>
      <c r="M126" s="54"/>
      <c r="N126" s="54"/>
    </row>
    <row r="127" spans="1:14" ht="22.5" customHeight="1" x14ac:dyDescent="0.25">
      <c r="A127" s="56"/>
      <c r="E127" s="57"/>
      <c r="L127" s="54"/>
      <c r="M127" s="54"/>
      <c r="N127" s="54"/>
    </row>
    <row r="128" spans="1:14" ht="22.5" customHeight="1" x14ac:dyDescent="0.25">
      <c r="A128" s="56"/>
      <c r="E128" s="57"/>
      <c r="L128" s="54"/>
      <c r="M128" s="54"/>
      <c r="N128" s="54"/>
    </row>
    <row r="129" spans="1:14" ht="22.5" customHeight="1" x14ac:dyDescent="0.25">
      <c r="A129" s="56"/>
      <c r="E129" s="57"/>
      <c r="L129" s="54"/>
      <c r="M129" s="54"/>
      <c r="N129" s="54"/>
    </row>
    <row r="130" spans="1:14" ht="22.5" customHeight="1" x14ac:dyDescent="0.25">
      <c r="A130" s="56"/>
      <c r="E130" s="57"/>
    </row>
    <row r="131" spans="1:14" ht="22.5" customHeight="1" x14ac:dyDescent="0.25">
      <c r="A131" s="56"/>
      <c r="E131" s="57"/>
    </row>
    <row r="132" spans="1:14" ht="22.5" customHeight="1" x14ac:dyDescent="0.25">
      <c r="A132" s="56"/>
      <c r="E132" s="57"/>
    </row>
    <row r="133" spans="1:14" ht="22.5" customHeight="1" x14ac:dyDescent="0.25">
      <c r="A133" s="56"/>
      <c r="E133" s="57"/>
    </row>
    <row r="134" spans="1:14" ht="22.5" customHeight="1" x14ac:dyDescent="0.25">
      <c r="A134" s="56"/>
      <c r="E134" s="57"/>
    </row>
    <row r="135" spans="1:14" ht="22.5" customHeight="1" x14ac:dyDescent="0.25">
      <c r="A135" s="56"/>
      <c r="E135" s="57"/>
    </row>
    <row r="136" spans="1:14" ht="22.5" customHeight="1" x14ac:dyDescent="0.25">
      <c r="A136" s="56"/>
      <c r="E136" s="57"/>
    </row>
    <row r="137" spans="1:14" ht="22.5" customHeight="1" x14ac:dyDescent="0.25">
      <c r="A137" s="56"/>
      <c r="E137" s="57"/>
    </row>
    <row r="138" spans="1:14" ht="22.5" customHeight="1" x14ac:dyDescent="0.25">
      <c r="A138" s="56"/>
      <c r="E138" s="57"/>
    </row>
    <row r="139" spans="1:14" ht="22.5" customHeight="1" x14ac:dyDescent="0.25">
      <c r="A139" s="56"/>
      <c r="E139" s="57"/>
    </row>
    <row r="140" spans="1:14" ht="22.5" customHeight="1" x14ac:dyDescent="0.25">
      <c r="A140" s="56"/>
      <c r="E140" s="57"/>
    </row>
    <row r="141" spans="1:14" ht="22.5" customHeight="1" x14ac:dyDescent="0.25">
      <c r="A141" s="56"/>
      <c r="E141" s="57"/>
    </row>
    <row r="142" spans="1:14" ht="22.5" customHeight="1" x14ac:dyDescent="0.25">
      <c r="A142" s="56"/>
      <c r="E142" s="57"/>
    </row>
    <row r="143" spans="1:14" ht="22.5" customHeight="1" x14ac:dyDescent="0.25">
      <c r="A143" s="56"/>
      <c r="E143" s="57"/>
    </row>
    <row r="144" spans="1:14" ht="22.5" customHeight="1" x14ac:dyDescent="0.25">
      <c r="A144" s="56"/>
      <c r="E144" s="57"/>
    </row>
    <row r="145" spans="1:5" ht="22.5" customHeight="1" x14ac:dyDescent="0.25">
      <c r="A145" s="56"/>
      <c r="E145" s="57"/>
    </row>
    <row r="146" spans="1:5" ht="22.5" customHeight="1" x14ac:dyDescent="0.25">
      <c r="A146" s="56"/>
      <c r="E146" s="57"/>
    </row>
    <row r="147" spans="1:5" ht="22.5" customHeight="1" x14ac:dyDescent="0.25">
      <c r="A147" s="56"/>
      <c r="E147" s="57"/>
    </row>
    <row r="148" spans="1:5" ht="22.5" customHeight="1" x14ac:dyDescent="0.25">
      <c r="A148" s="56"/>
      <c r="E148" s="57"/>
    </row>
    <row r="149" spans="1:5" ht="22.5" customHeight="1" x14ac:dyDescent="0.25">
      <c r="A149" s="56"/>
      <c r="E149" s="57"/>
    </row>
    <row r="150" spans="1:5" ht="22.5" customHeight="1" x14ac:dyDescent="0.25">
      <c r="A150" s="56"/>
      <c r="E150" s="57"/>
    </row>
    <row r="151" spans="1:5" ht="22.5" customHeight="1" x14ac:dyDescent="0.25">
      <c r="A151" s="56"/>
      <c r="E151" s="57"/>
    </row>
    <row r="152" spans="1:5" ht="22.5" customHeight="1" x14ac:dyDescent="0.25">
      <c r="A152" s="56"/>
      <c r="E152" s="57"/>
    </row>
    <row r="153" spans="1:5" ht="22.5" customHeight="1" x14ac:dyDescent="0.25">
      <c r="A153" s="56"/>
      <c r="E153" s="57"/>
    </row>
    <row r="154" spans="1:5" ht="22.5" customHeight="1" x14ac:dyDescent="0.25">
      <c r="A154" s="56"/>
      <c r="E154" s="57"/>
    </row>
    <row r="155" spans="1:5" ht="22.5" customHeight="1" x14ac:dyDescent="0.25">
      <c r="A155" s="56"/>
      <c r="E155" s="57"/>
    </row>
    <row r="156" spans="1:5" ht="22.5" customHeight="1" x14ac:dyDescent="0.25">
      <c r="A156" s="56"/>
      <c r="E156" s="57"/>
    </row>
    <row r="157" spans="1:5" ht="22.5" customHeight="1" x14ac:dyDescent="0.25">
      <c r="A157" s="56"/>
      <c r="E157" s="57"/>
    </row>
    <row r="158" spans="1:5" ht="22.5" customHeight="1" x14ac:dyDescent="0.25">
      <c r="A158" s="56"/>
      <c r="E158" s="57"/>
    </row>
    <row r="159" spans="1:5" ht="22.5" customHeight="1" x14ac:dyDescent="0.25">
      <c r="A159" s="56"/>
      <c r="E159" s="57"/>
    </row>
    <row r="160" spans="1:5" ht="22.5" customHeight="1" x14ac:dyDescent="0.25">
      <c r="A160" s="56"/>
      <c r="E160" s="57"/>
    </row>
    <row r="161" spans="1:5" ht="22.5" customHeight="1" x14ac:dyDescent="0.25">
      <c r="A161" s="56"/>
      <c r="E161" s="57"/>
    </row>
    <row r="162" spans="1:5" ht="22.5" customHeight="1" x14ac:dyDescent="0.25">
      <c r="A162" s="56"/>
      <c r="E162" s="57"/>
    </row>
    <row r="163" spans="1:5" ht="22.5" customHeight="1" x14ac:dyDescent="0.25">
      <c r="A163" s="56"/>
      <c r="E163" s="57"/>
    </row>
    <row r="164" spans="1:5" ht="22.5" customHeight="1" x14ac:dyDescent="0.25">
      <c r="A164" s="56"/>
      <c r="E164" s="57"/>
    </row>
    <row r="165" spans="1:5" ht="22.5" customHeight="1" x14ac:dyDescent="0.25">
      <c r="A165" s="56"/>
      <c r="E165" s="57"/>
    </row>
    <row r="166" spans="1:5" ht="22.5" customHeight="1" x14ac:dyDescent="0.25">
      <c r="A166" s="56"/>
      <c r="E166" s="57"/>
    </row>
    <row r="167" spans="1:5" ht="22.5" customHeight="1" x14ac:dyDescent="0.25">
      <c r="A167" s="56"/>
      <c r="E167" s="57"/>
    </row>
    <row r="168" spans="1:5" ht="22.5" customHeight="1" x14ac:dyDescent="0.25">
      <c r="A168" s="56"/>
      <c r="E168" s="57"/>
    </row>
    <row r="169" spans="1:5" ht="22.5" customHeight="1" x14ac:dyDescent="0.25">
      <c r="A169" s="56"/>
      <c r="E169" s="57"/>
    </row>
    <row r="170" spans="1:5" ht="22.5" customHeight="1" x14ac:dyDescent="0.25">
      <c r="A170" s="56"/>
      <c r="E170" s="57"/>
    </row>
    <row r="171" spans="1:5" ht="22.5" customHeight="1" x14ac:dyDescent="0.25">
      <c r="A171" s="56"/>
      <c r="E171" s="57"/>
    </row>
    <row r="172" spans="1:5" ht="22.5" customHeight="1" x14ac:dyDescent="0.25">
      <c r="A172" s="56"/>
      <c r="E172" s="57"/>
    </row>
    <row r="173" spans="1:5" ht="22.5" customHeight="1" x14ac:dyDescent="0.25">
      <c r="A173" s="56"/>
      <c r="E173" s="57"/>
    </row>
    <row r="174" spans="1:5" ht="22.5" customHeight="1" x14ac:dyDescent="0.25">
      <c r="A174" s="56"/>
      <c r="E174" s="57"/>
    </row>
    <row r="175" spans="1:5" ht="22.5" customHeight="1" x14ac:dyDescent="0.25">
      <c r="A175" s="56"/>
      <c r="E175" s="57"/>
    </row>
    <row r="176" spans="1:5" ht="22.5" customHeight="1" x14ac:dyDescent="0.25">
      <c r="A176" s="56"/>
      <c r="E176" s="57"/>
    </row>
    <row r="177" spans="1:5" ht="22.5" customHeight="1" x14ac:dyDescent="0.25">
      <c r="A177" s="56"/>
      <c r="E177" s="57"/>
    </row>
    <row r="178" spans="1:5" ht="22.5" customHeight="1" x14ac:dyDescent="0.25">
      <c r="A178" s="56"/>
      <c r="E178" s="57"/>
    </row>
    <row r="179" spans="1:5" ht="22.5" customHeight="1" x14ac:dyDescent="0.25">
      <c r="A179" s="56"/>
      <c r="E179" s="57"/>
    </row>
    <row r="180" spans="1:5" ht="22.5" customHeight="1" x14ac:dyDescent="0.25">
      <c r="A180" s="56"/>
      <c r="E180" s="57"/>
    </row>
    <row r="181" spans="1:5" ht="22.5" customHeight="1" x14ac:dyDescent="0.25">
      <c r="A181" s="56"/>
      <c r="E181" s="57"/>
    </row>
    <row r="182" spans="1:5" ht="22.5" customHeight="1" x14ac:dyDescent="0.25">
      <c r="A182" s="56"/>
      <c r="E182" s="57"/>
    </row>
    <row r="183" spans="1:5" ht="15.75" customHeight="1" x14ac:dyDescent="0.25">
      <c r="A183" s="56"/>
      <c r="E183" s="57"/>
    </row>
    <row r="184" spans="1:5" ht="15.75" customHeight="1" x14ac:dyDescent="0.25">
      <c r="A184" s="56"/>
      <c r="E184" s="57"/>
    </row>
    <row r="185" spans="1:5" ht="15.75" customHeight="1" x14ac:dyDescent="0.25">
      <c r="A185" s="56"/>
      <c r="E185" s="57"/>
    </row>
    <row r="186" spans="1:5" ht="15.75" customHeight="1" x14ac:dyDescent="0.25">
      <c r="A186" s="56"/>
      <c r="E186" s="57"/>
    </row>
    <row r="187" spans="1:5" ht="15.75" customHeight="1" x14ac:dyDescent="0.25">
      <c r="A187" s="56"/>
      <c r="E187" s="57"/>
    </row>
    <row r="188" spans="1:5" ht="15.75" customHeight="1" x14ac:dyDescent="0.25">
      <c r="A188" s="56"/>
      <c r="E188" s="57"/>
    </row>
    <row r="189" spans="1:5" ht="15.75" customHeight="1" x14ac:dyDescent="0.25">
      <c r="A189" s="56"/>
      <c r="E189" s="57"/>
    </row>
    <row r="190" spans="1:5" ht="15.75" customHeight="1" x14ac:dyDescent="0.25">
      <c r="A190" s="56"/>
      <c r="E190" s="57"/>
    </row>
    <row r="191" spans="1:5" ht="15.75" customHeight="1" x14ac:dyDescent="0.25">
      <c r="A191" s="56"/>
      <c r="E191" s="57"/>
    </row>
    <row r="192" spans="1:5" ht="15.75" customHeight="1" x14ac:dyDescent="0.25">
      <c r="A192" s="56"/>
      <c r="E192" s="57"/>
    </row>
    <row r="193" spans="1:5" ht="15.75" customHeight="1" x14ac:dyDescent="0.25">
      <c r="A193" s="56"/>
      <c r="E193" s="57"/>
    </row>
    <row r="194" spans="1:5" ht="15.75" customHeight="1" x14ac:dyDescent="0.25">
      <c r="A194" s="56"/>
      <c r="E194" s="57"/>
    </row>
    <row r="195" spans="1:5" ht="15.75" customHeight="1" x14ac:dyDescent="0.25">
      <c r="A195" s="56"/>
      <c r="E195" s="57"/>
    </row>
    <row r="196" spans="1:5" ht="15.75" customHeight="1" x14ac:dyDescent="0.25">
      <c r="A196" s="56"/>
      <c r="E196" s="57"/>
    </row>
    <row r="197" spans="1:5" ht="15.75" customHeight="1" x14ac:dyDescent="0.25">
      <c r="A197" s="56"/>
      <c r="E197" s="57"/>
    </row>
    <row r="198" spans="1:5" ht="15.75" customHeight="1" x14ac:dyDescent="0.25">
      <c r="A198" s="56"/>
      <c r="E198" s="57"/>
    </row>
    <row r="199" spans="1:5" ht="15.75" customHeight="1" x14ac:dyDescent="0.25">
      <c r="A199" s="56"/>
      <c r="E199" s="57"/>
    </row>
    <row r="200" spans="1:5" ht="15.75" customHeight="1" x14ac:dyDescent="0.25">
      <c r="A200" s="56"/>
      <c r="E200" s="57"/>
    </row>
    <row r="201" spans="1:5" ht="15.75" customHeight="1" x14ac:dyDescent="0.25">
      <c r="A201" s="56"/>
      <c r="E201" s="57"/>
    </row>
    <row r="202" spans="1:5" ht="15.75" customHeight="1" x14ac:dyDescent="0.25">
      <c r="A202" s="56"/>
      <c r="E202" s="57"/>
    </row>
    <row r="203" spans="1:5" ht="15.75" customHeight="1" x14ac:dyDescent="0.25">
      <c r="A203" s="56"/>
      <c r="E203" s="57"/>
    </row>
    <row r="204" spans="1:5" ht="15.75" customHeight="1" x14ac:dyDescent="0.25">
      <c r="A204" s="56"/>
      <c r="E204" s="57"/>
    </row>
    <row r="205" spans="1:5" ht="15.75" customHeight="1" x14ac:dyDescent="0.25">
      <c r="A205" s="56"/>
      <c r="E205" s="57"/>
    </row>
    <row r="206" spans="1:5" ht="15.75" customHeight="1" x14ac:dyDescent="0.25">
      <c r="A206" s="56"/>
      <c r="E206" s="57"/>
    </row>
    <row r="207" spans="1:5" ht="15.75" customHeight="1" x14ac:dyDescent="0.25">
      <c r="A207" s="56"/>
      <c r="E207" s="57"/>
    </row>
    <row r="208" spans="1:5" ht="15.75" customHeight="1" x14ac:dyDescent="0.25">
      <c r="A208" s="56"/>
      <c r="E208" s="57"/>
    </row>
    <row r="209" spans="1:5" ht="15.75" customHeight="1" x14ac:dyDescent="0.25">
      <c r="A209" s="56"/>
      <c r="E209" s="57"/>
    </row>
    <row r="210" spans="1:5" ht="15.75" customHeight="1" x14ac:dyDescent="0.25">
      <c r="A210" s="56"/>
      <c r="E210" s="57"/>
    </row>
    <row r="211" spans="1:5" ht="15.75" customHeight="1" x14ac:dyDescent="0.25">
      <c r="A211" s="56"/>
      <c r="E211" s="57"/>
    </row>
    <row r="212" spans="1:5" ht="15.75" customHeight="1" x14ac:dyDescent="0.25">
      <c r="A212" s="56"/>
      <c r="E212" s="57"/>
    </row>
    <row r="213" spans="1:5" ht="15.75" customHeight="1" x14ac:dyDescent="0.25">
      <c r="A213" s="56"/>
      <c r="E213" s="57"/>
    </row>
    <row r="214" spans="1:5" ht="15.75" customHeight="1" x14ac:dyDescent="0.25">
      <c r="A214" s="56"/>
      <c r="E214" s="57"/>
    </row>
    <row r="215" spans="1:5" ht="15.75" customHeight="1" x14ac:dyDescent="0.25">
      <c r="A215" s="56"/>
      <c r="E215" s="57"/>
    </row>
    <row r="216" spans="1:5" ht="15.75" customHeight="1" x14ac:dyDescent="0.25">
      <c r="A216" s="56"/>
      <c r="E216" s="57"/>
    </row>
    <row r="217" spans="1:5" ht="15.75" customHeight="1" x14ac:dyDescent="0.25">
      <c r="A217" s="56"/>
      <c r="E217" s="57"/>
    </row>
    <row r="218" spans="1:5" ht="15.75" customHeight="1" x14ac:dyDescent="0.25">
      <c r="A218" s="56"/>
      <c r="E218" s="57"/>
    </row>
    <row r="219" spans="1:5" ht="15.75" customHeight="1" x14ac:dyDescent="0.25">
      <c r="A219" s="56"/>
      <c r="E219" s="57"/>
    </row>
    <row r="220" spans="1:5" ht="15.75" customHeight="1" x14ac:dyDescent="0.25">
      <c r="A220" s="56"/>
      <c r="E220" s="57"/>
    </row>
    <row r="221" spans="1:5" ht="15.75" customHeight="1" x14ac:dyDescent="0.25">
      <c r="A221" s="56"/>
      <c r="E221" s="57"/>
    </row>
    <row r="222" spans="1:5" ht="15.75" customHeight="1" x14ac:dyDescent="0.25">
      <c r="A222" s="56"/>
      <c r="E222" s="57"/>
    </row>
    <row r="223" spans="1:5" ht="15.75" customHeight="1" x14ac:dyDescent="0.25">
      <c r="A223" s="56"/>
      <c r="E223" s="57"/>
    </row>
    <row r="224" spans="1:5" ht="15.75" customHeight="1" x14ac:dyDescent="0.25">
      <c r="A224" s="56"/>
      <c r="E224" s="57"/>
    </row>
    <row r="225" spans="1:5" ht="15.75" customHeight="1" x14ac:dyDescent="0.25">
      <c r="A225" s="56"/>
      <c r="E225" s="57"/>
    </row>
    <row r="226" spans="1:5" ht="15.75" customHeight="1" x14ac:dyDescent="0.25">
      <c r="A226" s="56"/>
      <c r="E226" s="57"/>
    </row>
    <row r="227" spans="1:5" ht="15.75" customHeight="1" x14ac:dyDescent="0.25">
      <c r="A227" s="56"/>
      <c r="E227" s="57"/>
    </row>
    <row r="228" spans="1:5" ht="15.75" customHeight="1" x14ac:dyDescent="0.25">
      <c r="A228" s="56"/>
      <c r="E228" s="57"/>
    </row>
    <row r="229" spans="1:5" ht="15.75" customHeight="1" x14ac:dyDescent="0.25">
      <c r="A229" s="56"/>
      <c r="E229" s="57"/>
    </row>
    <row r="230" spans="1:5" ht="15.75" customHeight="1" x14ac:dyDescent="0.25">
      <c r="A230" s="56"/>
      <c r="E230" s="57"/>
    </row>
    <row r="231" spans="1:5" ht="15.75" customHeight="1" x14ac:dyDescent="0.25">
      <c r="A231" s="56"/>
      <c r="E231" s="57"/>
    </row>
    <row r="232" spans="1:5" ht="15.75" customHeight="1" x14ac:dyDescent="0.25">
      <c r="A232" s="56"/>
      <c r="E232" s="57"/>
    </row>
    <row r="233" spans="1:5" ht="15.75" customHeight="1" x14ac:dyDescent="0.25">
      <c r="A233" s="56"/>
      <c r="E233" s="57"/>
    </row>
    <row r="234" spans="1:5" ht="15.75" customHeight="1" x14ac:dyDescent="0.25">
      <c r="A234" s="56"/>
      <c r="E234" s="57"/>
    </row>
    <row r="235" spans="1:5" ht="15.75" customHeight="1" x14ac:dyDescent="0.25">
      <c r="A235" s="56"/>
      <c r="E235" s="57"/>
    </row>
    <row r="236" spans="1:5" ht="15.75" customHeight="1" x14ac:dyDescent="0.25">
      <c r="A236" s="56"/>
      <c r="E236" s="57"/>
    </row>
    <row r="237" spans="1:5" ht="15.75" customHeight="1" x14ac:dyDescent="0.25">
      <c r="A237" s="56"/>
      <c r="E237" s="57"/>
    </row>
    <row r="238" spans="1:5" ht="15.75" customHeight="1" x14ac:dyDescent="0.25">
      <c r="A238" s="56"/>
      <c r="E238" s="57"/>
    </row>
    <row r="239" spans="1:5" ht="15.75" customHeight="1" x14ac:dyDescent="0.25">
      <c r="A239" s="56"/>
      <c r="E239" s="57"/>
    </row>
    <row r="240" spans="1:5" ht="15.75" customHeight="1" x14ac:dyDescent="0.25">
      <c r="A240" s="56"/>
      <c r="E240" s="57"/>
    </row>
    <row r="241" spans="1:5" ht="15.75" customHeight="1" x14ac:dyDescent="0.25">
      <c r="A241" s="56"/>
      <c r="E241" s="57"/>
    </row>
    <row r="242" spans="1:5" ht="15.75" customHeight="1" x14ac:dyDescent="0.25">
      <c r="A242" s="56"/>
      <c r="E242" s="57"/>
    </row>
    <row r="243" spans="1:5" ht="15.75" customHeight="1" x14ac:dyDescent="0.25">
      <c r="A243" s="56"/>
      <c r="E243" s="57"/>
    </row>
    <row r="244" spans="1:5" ht="15.75" customHeight="1" x14ac:dyDescent="0.25">
      <c r="A244" s="56"/>
      <c r="E244" s="57"/>
    </row>
    <row r="245" spans="1:5" ht="15.75" customHeight="1" x14ac:dyDescent="0.25">
      <c r="A245" s="56"/>
      <c r="E245" s="57"/>
    </row>
    <row r="246" spans="1:5" ht="15.75" customHeight="1" x14ac:dyDescent="0.25">
      <c r="A246" s="56"/>
      <c r="E246" s="57"/>
    </row>
    <row r="247" spans="1:5" ht="15.75" customHeight="1" x14ac:dyDescent="0.25">
      <c r="A247" s="56"/>
      <c r="E247" s="57"/>
    </row>
    <row r="248" spans="1:5" ht="15.75" customHeight="1" x14ac:dyDescent="0.25">
      <c r="A248" s="56"/>
      <c r="E248" s="57"/>
    </row>
    <row r="249" spans="1:5" ht="15.75" customHeight="1" x14ac:dyDescent="0.25">
      <c r="A249" s="56"/>
      <c r="E249" s="57"/>
    </row>
    <row r="250" spans="1:5" ht="15.75" customHeight="1" x14ac:dyDescent="0.25">
      <c r="A250" s="56"/>
      <c r="E250" s="57"/>
    </row>
    <row r="251" spans="1:5" ht="15.75" customHeight="1" x14ac:dyDescent="0.25">
      <c r="A251" s="56"/>
      <c r="E251" s="57"/>
    </row>
    <row r="252" spans="1:5" ht="15.75" customHeight="1" x14ac:dyDescent="0.25">
      <c r="A252" s="56"/>
      <c r="E252" s="57"/>
    </row>
    <row r="253" spans="1:5" ht="15.75" customHeight="1" x14ac:dyDescent="0.25">
      <c r="A253" s="56"/>
      <c r="E253" s="57"/>
    </row>
    <row r="254" spans="1:5" ht="15.75" customHeight="1" x14ac:dyDescent="0.25">
      <c r="A254" s="56"/>
      <c r="E254" s="57"/>
    </row>
    <row r="255" spans="1:5" ht="15.75" customHeight="1" x14ac:dyDescent="0.25">
      <c r="A255" s="56"/>
      <c r="E255" s="57"/>
    </row>
    <row r="256" spans="1:5" ht="15.75" customHeight="1" x14ac:dyDescent="0.25">
      <c r="A256" s="56"/>
      <c r="E256" s="57"/>
    </row>
    <row r="257" spans="1:5" ht="15.75" customHeight="1" x14ac:dyDescent="0.25">
      <c r="A257" s="56"/>
      <c r="E257" s="57"/>
    </row>
    <row r="258" spans="1:5" ht="15.75" customHeight="1" x14ac:dyDescent="0.25">
      <c r="A258" s="56"/>
      <c r="E258" s="57"/>
    </row>
    <row r="259" spans="1:5" ht="15.75" customHeight="1" x14ac:dyDescent="0.25">
      <c r="A259" s="56"/>
      <c r="E259" s="57"/>
    </row>
    <row r="260" spans="1:5" ht="15.75" customHeight="1" x14ac:dyDescent="0.25">
      <c r="A260" s="56"/>
      <c r="E260" s="57"/>
    </row>
    <row r="261" spans="1:5" ht="15.75" customHeight="1" x14ac:dyDescent="0.25">
      <c r="A261" s="56"/>
      <c r="E261" s="57"/>
    </row>
    <row r="262" spans="1:5" ht="15.75" customHeight="1" x14ac:dyDescent="0.25">
      <c r="A262" s="56"/>
      <c r="E262" s="57"/>
    </row>
    <row r="263" spans="1:5" ht="15.75" customHeight="1" x14ac:dyDescent="0.25">
      <c r="A263" s="56"/>
      <c r="E263" s="57"/>
    </row>
    <row r="264" spans="1:5" ht="15.75" customHeight="1" x14ac:dyDescent="0.25">
      <c r="A264" s="56"/>
      <c r="E264" s="57"/>
    </row>
    <row r="265" spans="1:5" ht="15.75" customHeight="1" x14ac:dyDescent="0.25">
      <c r="A265" s="56"/>
      <c r="E265" s="57"/>
    </row>
    <row r="266" spans="1:5" ht="15.75" customHeight="1" x14ac:dyDescent="0.25">
      <c r="A266" s="56"/>
      <c r="E266" s="57"/>
    </row>
    <row r="267" spans="1:5" ht="15.75" customHeight="1" x14ac:dyDescent="0.25">
      <c r="A267" s="56"/>
      <c r="E267" s="57"/>
    </row>
    <row r="268" spans="1:5" ht="15.75" customHeight="1" x14ac:dyDescent="0.25">
      <c r="A268" s="56"/>
      <c r="E268" s="57"/>
    </row>
    <row r="269" spans="1:5" ht="15.75" customHeight="1" x14ac:dyDescent="0.25">
      <c r="A269" s="56"/>
      <c r="E269" s="57"/>
    </row>
    <row r="270" spans="1:5" ht="15.75" customHeight="1" x14ac:dyDescent="0.25">
      <c r="A270" s="56"/>
      <c r="E270" s="57"/>
    </row>
    <row r="271" spans="1:5" ht="15.75" customHeight="1" x14ac:dyDescent="0.25">
      <c r="A271" s="56"/>
      <c r="E271" s="57"/>
    </row>
    <row r="272" spans="1:5" ht="15.75" customHeight="1" x14ac:dyDescent="0.25">
      <c r="A272" s="56"/>
      <c r="E272" s="57"/>
    </row>
    <row r="273" spans="1:5" ht="15.75" customHeight="1" x14ac:dyDescent="0.25">
      <c r="A273" s="56"/>
      <c r="E273" s="57"/>
    </row>
    <row r="274" spans="1:5" ht="15.75" customHeight="1" x14ac:dyDescent="0.25">
      <c r="A274" s="56"/>
      <c r="E274" s="57"/>
    </row>
    <row r="275" spans="1:5" ht="15.75" customHeight="1" x14ac:dyDescent="0.25">
      <c r="A275" s="56"/>
      <c r="E275" s="57"/>
    </row>
    <row r="276" spans="1:5" ht="15.75" customHeight="1" x14ac:dyDescent="0.25">
      <c r="A276" s="56"/>
      <c r="E276" s="57"/>
    </row>
    <row r="277" spans="1:5" ht="15.75" customHeight="1" x14ac:dyDescent="0.25">
      <c r="A277" s="56"/>
      <c r="E277" s="57"/>
    </row>
    <row r="278" spans="1:5" ht="15.75" customHeight="1" x14ac:dyDescent="0.25">
      <c r="A278" s="56"/>
      <c r="E278" s="57"/>
    </row>
    <row r="279" spans="1:5" ht="15.75" customHeight="1" x14ac:dyDescent="0.25">
      <c r="A279" s="56"/>
      <c r="E279" s="57"/>
    </row>
    <row r="280" spans="1:5" ht="15.75" customHeight="1" x14ac:dyDescent="0.25">
      <c r="A280" s="56"/>
      <c r="E280" s="57"/>
    </row>
    <row r="281" spans="1:5" ht="15.75" customHeight="1" x14ac:dyDescent="0.25">
      <c r="A281" s="56"/>
      <c r="E281" s="57"/>
    </row>
    <row r="282" spans="1:5" ht="15.75" customHeight="1" x14ac:dyDescent="0.25">
      <c r="A282" s="56"/>
      <c r="E282" s="57"/>
    </row>
    <row r="283" spans="1:5" ht="15.75" customHeight="1" x14ac:dyDescent="0.25">
      <c r="A283" s="56"/>
      <c r="E283" s="57"/>
    </row>
    <row r="284" spans="1:5" ht="15.75" customHeight="1" x14ac:dyDescent="0.25">
      <c r="A284" s="56"/>
      <c r="E284" s="57"/>
    </row>
    <row r="285" spans="1:5" ht="15.75" customHeight="1" x14ac:dyDescent="0.25">
      <c r="A285" s="56"/>
      <c r="E285" s="57"/>
    </row>
    <row r="286" spans="1:5" ht="15.75" customHeight="1" x14ac:dyDescent="0.25">
      <c r="A286" s="56"/>
      <c r="E286" s="57"/>
    </row>
    <row r="287" spans="1:5" ht="15.75" customHeight="1" x14ac:dyDescent="0.25">
      <c r="A287" s="56"/>
      <c r="E287" s="57"/>
    </row>
    <row r="288" spans="1:5" ht="15.75" customHeight="1" x14ac:dyDescent="0.25">
      <c r="A288" s="56"/>
      <c r="E288" s="57"/>
    </row>
    <row r="289" spans="1:5" ht="15.75" customHeight="1" x14ac:dyDescent="0.25">
      <c r="A289" s="56"/>
      <c r="E289" s="57"/>
    </row>
    <row r="290" spans="1:5" ht="15.75" customHeight="1" x14ac:dyDescent="0.25">
      <c r="A290" s="56"/>
      <c r="E290" s="57"/>
    </row>
    <row r="291" spans="1:5" ht="15.75" customHeight="1" x14ac:dyDescent="0.25">
      <c r="A291" s="56"/>
      <c r="E291" s="57"/>
    </row>
    <row r="292" spans="1:5" ht="15.75" customHeight="1" x14ac:dyDescent="0.25">
      <c r="A292" s="56"/>
      <c r="E292" s="57"/>
    </row>
    <row r="293" spans="1:5" ht="15.75" customHeight="1" x14ac:dyDescent="0.25">
      <c r="A293" s="56"/>
      <c r="E293" s="57"/>
    </row>
    <row r="294" spans="1:5" ht="15.75" customHeight="1" x14ac:dyDescent="0.25">
      <c r="A294" s="56"/>
      <c r="E294" s="57"/>
    </row>
    <row r="295" spans="1:5" ht="15.75" customHeight="1" x14ac:dyDescent="0.25">
      <c r="A295" s="56"/>
      <c r="E295" s="57"/>
    </row>
    <row r="296" spans="1:5" ht="15.75" customHeight="1" x14ac:dyDescent="0.25">
      <c r="A296" s="56"/>
      <c r="E296" s="57"/>
    </row>
    <row r="297" spans="1:5" ht="15.75" customHeight="1" x14ac:dyDescent="0.25">
      <c r="A297" s="56"/>
      <c r="E297" s="57"/>
    </row>
    <row r="298" spans="1:5" ht="15.75" customHeight="1" x14ac:dyDescent="0.25">
      <c r="A298" s="56"/>
      <c r="E298" s="57"/>
    </row>
    <row r="299" spans="1:5" ht="15.75" customHeight="1" x14ac:dyDescent="0.25">
      <c r="A299" s="56"/>
      <c r="E299" s="57"/>
    </row>
    <row r="300" spans="1:5" ht="15.75" customHeight="1" x14ac:dyDescent="0.25">
      <c r="A300" s="56"/>
      <c r="E300" s="57"/>
    </row>
    <row r="301" spans="1:5" ht="15.75" customHeight="1" x14ac:dyDescent="0.25">
      <c r="A301" s="56"/>
      <c r="E301" s="57"/>
    </row>
    <row r="302" spans="1:5" ht="15.75" customHeight="1" x14ac:dyDescent="0.25">
      <c r="A302" s="56"/>
      <c r="E302" s="57"/>
    </row>
    <row r="303" spans="1:5" ht="15.75" customHeight="1" x14ac:dyDescent="0.25">
      <c r="A303" s="56"/>
      <c r="E303" s="57"/>
    </row>
    <row r="304" spans="1:5" ht="15.75" customHeight="1" x14ac:dyDescent="0.25">
      <c r="A304" s="56"/>
      <c r="E304" s="57"/>
    </row>
    <row r="305" spans="1:5" ht="15.75" customHeight="1" x14ac:dyDescent="0.25">
      <c r="A305" s="56"/>
      <c r="E305" s="57"/>
    </row>
    <row r="306" spans="1:5" ht="15.75" customHeight="1" x14ac:dyDescent="0.25">
      <c r="A306" s="56"/>
      <c r="E306" s="57"/>
    </row>
    <row r="307" spans="1:5" ht="15.75" customHeight="1" x14ac:dyDescent="0.25">
      <c r="A307" s="56"/>
      <c r="E307" s="57"/>
    </row>
    <row r="308" spans="1:5" ht="15.75" customHeight="1" x14ac:dyDescent="0.25">
      <c r="A308" s="56"/>
      <c r="E308" s="57"/>
    </row>
    <row r="309" spans="1:5" ht="15.75" customHeight="1" x14ac:dyDescent="0.25">
      <c r="A309" s="56"/>
      <c r="E309" s="57"/>
    </row>
    <row r="310" spans="1:5" ht="15.75" customHeight="1" x14ac:dyDescent="0.25">
      <c r="A310" s="56"/>
      <c r="E310" s="57"/>
    </row>
    <row r="311" spans="1:5" ht="15.75" customHeight="1" x14ac:dyDescent="0.25">
      <c r="A311" s="56"/>
      <c r="E311" s="57"/>
    </row>
    <row r="312" spans="1:5" ht="15.75" customHeight="1" x14ac:dyDescent="0.25">
      <c r="A312" s="56"/>
      <c r="E312" s="57"/>
    </row>
    <row r="313" spans="1:5" ht="15.75" customHeight="1" x14ac:dyDescent="0.25">
      <c r="A313" s="56"/>
      <c r="E313" s="57"/>
    </row>
    <row r="314" spans="1:5" ht="15.75" customHeight="1" x14ac:dyDescent="0.25">
      <c r="A314" s="56"/>
      <c r="E314" s="57"/>
    </row>
    <row r="315" spans="1:5" ht="15.75" customHeight="1" x14ac:dyDescent="0.25">
      <c r="A315" s="56"/>
      <c r="E315" s="57"/>
    </row>
    <row r="316" spans="1:5" ht="15.75" customHeight="1" x14ac:dyDescent="0.25">
      <c r="A316" s="56"/>
      <c r="E316" s="57"/>
    </row>
    <row r="317" spans="1:5" ht="15.75" customHeight="1" x14ac:dyDescent="0.25">
      <c r="A317" s="56"/>
      <c r="E317" s="57"/>
    </row>
    <row r="318" spans="1:5" ht="15.75" customHeight="1" x14ac:dyDescent="0.25">
      <c r="A318" s="56"/>
      <c r="E318" s="57"/>
    </row>
    <row r="319" spans="1:5" ht="15.75" customHeight="1" x14ac:dyDescent="0.25">
      <c r="A319" s="56"/>
      <c r="E319" s="57"/>
    </row>
    <row r="320" spans="1:5" ht="15.75" customHeight="1" x14ac:dyDescent="0.25">
      <c r="A320" s="56"/>
      <c r="E320" s="57"/>
    </row>
    <row r="321" spans="1:5" ht="15.75" customHeight="1" x14ac:dyDescent="0.25">
      <c r="A321" s="56"/>
      <c r="E321" s="57"/>
    </row>
    <row r="322" spans="1:5" ht="15.75" customHeight="1" x14ac:dyDescent="0.25">
      <c r="A322" s="56"/>
      <c r="E322" s="57"/>
    </row>
    <row r="323" spans="1:5" ht="15.75" customHeight="1" x14ac:dyDescent="0.25">
      <c r="A323" s="56"/>
      <c r="E323" s="57"/>
    </row>
    <row r="324" spans="1:5" ht="15.75" customHeight="1" x14ac:dyDescent="0.25">
      <c r="A324" s="56"/>
      <c r="E324" s="57"/>
    </row>
    <row r="325" spans="1:5" ht="15.75" customHeight="1" x14ac:dyDescent="0.25">
      <c r="A325" s="56"/>
      <c r="E325" s="57"/>
    </row>
    <row r="326" spans="1:5" ht="15.75" customHeight="1" x14ac:dyDescent="0.25">
      <c r="A326" s="56"/>
      <c r="E326" s="57"/>
    </row>
    <row r="327" spans="1:5" ht="15.75" customHeight="1" x14ac:dyDescent="0.25">
      <c r="A327" s="56"/>
      <c r="E327" s="57"/>
    </row>
    <row r="328" spans="1:5" ht="15.75" customHeight="1" x14ac:dyDescent="0.25">
      <c r="A328" s="56"/>
      <c r="E328" s="57"/>
    </row>
    <row r="329" spans="1:5" ht="15.75" customHeight="1" x14ac:dyDescent="0.25">
      <c r="A329" s="56"/>
      <c r="E329" s="57"/>
    </row>
    <row r="330" spans="1:5" ht="15.75" customHeight="1" x14ac:dyDescent="0.25">
      <c r="A330" s="56"/>
      <c r="E330" s="57"/>
    </row>
    <row r="331" spans="1:5" ht="15.75" customHeight="1" x14ac:dyDescent="0.25">
      <c r="A331" s="56"/>
      <c r="E331" s="57"/>
    </row>
    <row r="332" spans="1:5" ht="15.75" customHeight="1" x14ac:dyDescent="0.25">
      <c r="A332" s="56"/>
      <c r="E332" s="57"/>
    </row>
    <row r="333" spans="1:5" ht="15.75" customHeight="1" x14ac:dyDescent="0.25">
      <c r="A333" s="56"/>
      <c r="E333" s="57"/>
    </row>
    <row r="334" spans="1:5" ht="15.75" customHeight="1" x14ac:dyDescent="0.25">
      <c r="A334" s="56"/>
      <c r="E334" s="57"/>
    </row>
    <row r="335" spans="1:5" ht="15.75" customHeight="1" x14ac:dyDescent="0.25">
      <c r="A335" s="56"/>
      <c r="E335" s="57"/>
    </row>
    <row r="336" spans="1:5" ht="15.75" customHeight="1" x14ac:dyDescent="0.25">
      <c r="A336" s="56"/>
      <c r="E336" s="57"/>
    </row>
    <row r="337" spans="1:5" ht="15.75" customHeight="1" x14ac:dyDescent="0.25">
      <c r="A337" s="56"/>
      <c r="E337" s="57"/>
    </row>
    <row r="338" spans="1:5" ht="15.75" customHeight="1" x14ac:dyDescent="0.25">
      <c r="A338" s="56"/>
      <c r="E338" s="57"/>
    </row>
    <row r="339" spans="1:5" ht="15.75" customHeight="1" x14ac:dyDescent="0.25">
      <c r="A339" s="56"/>
      <c r="E339" s="57"/>
    </row>
    <row r="340" spans="1:5" ht="15.75" customHeight="1" x14ac:dyDescent="0.25">
      <c r="A340" s="56"/>
      <c r="E340" s="57"/>
    </row>
    <row r="341" spans="1:5" ht="15.75" customHeight="1" x14ac:dyDescent="0.25">
      <c r="A341" s="56"/>
      <c r="E341" s="57"/>
    </row>
    <row r="342" spans="1:5" ht="15.75" customHeight="1" x14ac:dyDescent="0.25">
      <c r="A342" s="56"/>
      <c r="E342" s="57"/>
    </row>
    <row r="343" spans="1:5" ht="15.75" customHeight="1" x14ac:dyDescent="0.25">
      <c r="A343" s="56"/>
      <c r="E343" s="57"/>
    </row>
    <row r="344" spans="1:5" ht="15.75" customHeight="1" x14ac:dyDescent="0.25">
      <c r="A344" s="56"/>
      <c r="E344" s="57"/>
    </row>
    <row r="345" spans="1:5" ht="15.75" customHeight="1" x14ac:dyDescent="0.25">
      <c r="A345" s="56"/>
      <c r="E345" s="57"/>
    </row>
    <row r="346" spans="1:5" ht="15.75" customHeight="1" x14ac:dyDescent="0.25">
      <c r="A346" s="56"/>
      <c r="E346" s="57"/>
    </row>
    <row r="347" spans="1:5" ht="15.75" customHeight="1" x14ac:dyDescent="0.25">
      <c r="A347" s="56"/>
      <c r="E347" s="57"/>
    </row>
    <row r="348" spans="1:5" ht="15.75" customHeight="1" x14ac:dyDescent="0.25">
      <c r="A348" s="56"/>
      <c r="E348" s="57"/>
    </row>
    <row r="349" spans="1:5" ht="15.75" customHeight="1" x14ac:dyDescent="0.25">
      <c r="A349" s="56"/>
      <c r="E349" s="57"/>
    </row>
    <row r="350" spans="1:5" ht="15.75" customHeight="1" x14ac:dyDescent="0.25">
      <c r="A350" s="56"/>
      <c r="E350" s="57"/>
    </row>
    <row r="351" spans="1:5" ht="15.75" customHeight="1" x14ac:dyDescent="0.25">
      <c r="A351" s="56"/>
      <c r="E351" s="57"/>
    </row>
    <row r="352" spans="1:5" ht="15.75" customHeight="1" x14ac:dyDescent="0.25">
      <c r="A352" s="56"/>
      <c r="E352" s="57"/>
    </row>
    <row r="353" spans="1:5" ht="15.75" customHeight="1" x14ac:dyDescent="0.25">
      <c r="A353" s="56"/>
      <c r="E353" s="57"/>
    </row>
    <row r="354" spans="1:5" ht="15.75" customHeight="1" x14ac:dyDescent="0.25">
      <c r="A354" s="56"/>
      <c r="E354" s="57"/>
    </row>
    <row r="355" spans="1:5" ht="15.75" customHeight="1" x14ac:dyDescent="0.25">
      <c r="A355" s="56"/>
      <c r="E355" s="57"/>
    </row>
    <row r="356" spans="1:5" ht="15.75" customHeight="1" x14ac:dyDescent="0.25">
      <c r="A356" s="56"/>
      <c r="E356" s="57"/>
    </row>
    <row r="357" spans="1:5" ht="15.75" customHeight="1" x14ac:dyDescent="0.25">
      <c r="A357" s="56"/>
      <c r="E357" s="57"/>
    </row>
    <row r="358" spans="1:5" ht="15.75" customHeight="1" x14ac:dyDescent="0.25">
      <c r="A358" s="56"/>
      <c r="E358" s="57"/>
    </row>
    <row r="359" spans="1:5" ht="15.75" customHeight="1" x14ac:dyDescent="0.25">
      <c r="A359" s="56"/>
      <c r="E359" s="57"/>
    </row>
    <row r="360" spans="1:5" ht="15.75" customHeight="1" x14ac:dyDescent="0.25">
      <c r="A360" s="56"/>
      <c r="E360" s="57"/>
    </row>
    <row r="361" spans="1:5" ht="15.75" customHeight="1" x14ac:dyDescent="0.25">
      <c r="A361" s="56"/>
      <c r="E361" s="57"/>
    </row>
    <row r="362" spans="1:5" ht="15.75" customHeight="1" x14ac:dyDescent="0.25">
      <c r="A362" s="56"/>
      <c r="E362" s="57"/>
    </row>
    <row r="363" spans="1:5" ht="15.75" customHeight="1" x14ac:dyDescent="0.25">
      <c r="A363" s="56"/>
      <c r="E363" s="57"/>
    </row>
    <row r="364" spans="1:5" ht="15.75" customHeight="1" x14ac:dyDescent="0.25">
      <c r="A364" s="56"/>
      <c r="E364" s="57"/>
    </row>
    <row r="365" spans="1:5" ht="15.75" customHeight="1" x14ac:dyDescent="0.25">
      <c r="A365" s="56"/>
      <c r="E365" s="57"/>
    </row>
    <row r="366" spans="1:5" ht="15.75" customHeight="1" x14ac:dyDescent="0.25">
      <c r="A366" s="56"/>
      <c r="E366" s="57"/>
    </row>
    <row r="367" spans="1:5" ht="15.75" customHeight="1" x14ac:dyDescent="0.25">
      <c r="A367" s="56"/>
      <c r="E367" s="57"/>
    </row>
    <row r="368" spans="1:5" ht="15.75" customHeight="1" x14ac:dyDescent="0.25">
      <c r="A368" s="56"/>
      <c r="E368" s="57"/>
    </row>
    <row r="369" spans="1:5" ht="15.75" customHeight="1" x14ac:dyDescent="0.25">
      <c r="A369" s="56"/>
      <c r="E369" s="57"/>
    </row>
    <row r="370" spans="1:5" ht="15.75" customHeight="1" x14ac:dyDescent="0.25">
      <c r="A370" s="56"/>
      <c r="E370" s="57"/>
    </row>
    <row r="371" spans="1:5" ht="15.75" customHeight="1" x14ac:dyDescent="0.25">
      <c r="A371" s="56"/>
      <c r="E371" s="57"/>
    </row>
    <row r="372" spans="1:5" ht="15.75" customHeight="1" x14ac:dyDescent="0.25">
      <c r="A372" s="56"/>
      <c r="E372" s="57"/>
    </row>
    <row r="373" spans="1:5" ht="15.75" customHeight="1" x14ac:dyDescent="0.25">
      <c r="A373" s="56"/>
      <c r="E373" s="57"/>
    </row>
    <row r="374" spans="1:5" ht="15.75" customHeight="1" x14ac:dyDescent="0.25">
      <c r="A374" s="56"/>
      <c r="E374" s="57"/>
    </row>
    <row r="375" spans="1:5" ht="15.75" customHeight="1" x14ac:dyDescent="0.25">
      <c r="A375" s="56"/>
      <c r="E375" s="57"/>
    </row>
    <row r="376" spans="1:5" ht="15.75" customHeight="1" x14ac:dyDescent="0.25">
      <c r="A376" s="56"/>
      <c r="E376" s="57"/>
    </row>
    <row r="377" spans="1:5" ht="15.75" customHeight="1" x14ac:dyDescent="0.25">
      <c r="A377" s="56"/>
      <c r="E377" s="57"/>
    </row>
    <row r="378" spans="1:5" ht="15.75" customHeight="1" x14ac:dyDescent="0.25">
      <c r="A378" s="56"/>
      <c r="E378" s="57"/>
    </row>
    <row r="379" spans="1:5" ht="15.75" customHeight="1" x14ac:dyDescent="0.25">
      <c r="A379" s="56"/>
      <c r="E379" s="57"/>
    </row>
    <row r="380" spans="1:5" ht="15.75" customHeight="1" x14ac:dyDescent="0.25">
      <c r="A380" s="56"/>
      <c r="E380" s="57"/>
    </row>
    <row r="381" spans="1:5" ht="15.75" customHeight="1" x14ac:dyDescent="0.25">
      <c r="A381" s="56"/>
      <c r="E381" s="57"/>
    </row>
    <row r="382" spans="1:5" ht="15.75" customHeight="1" x14ac:dyDescent="0.25">
      <c r="A382" s="56"/>
      <c r="E382" s="57"/>
    </row>
    <row r="383" spans="1:5" ht="15.75" customHeight="1" x14ac:dyDescent="0.25">
      <c r="A383" s="56"/>
      <c r="E383" s="57"/>
    </row>
    <row r="384" spans="1:5" ht="15.75" customHeight="1" x14ac:dyDescent="0.25">
      <c r="A384" s="56"/>
      <c r="E384" s="57"/>
    </row>
    <row r="385" spans="1:5" ht="15.75" customHeight="1" x14ac:dyDescent="0.25">
      <c r="A385" s="56"/>
      <c r="E385" s="57"/>
    </row>
    <row r="386" spans="1:5" ht="15.75" customHeight="1" x14ac:dyDescent="0.25">
      <c r="A386" s="56"/>
      <c r="E386" s="57"/>
    </row>
    <row r="387" spans="1:5" ht="15.75" customHeight="1" x14ac:dyDescent="0.25">
      <c r="A387" s="56"/>
      <c r="E387" s="57"/>
    </row>
    <row r="388" spans="1:5" ht="15.75" customHeight="1" x14ac:dyDescent="0.25">
      <c r="A388" s="56"/>
      <c r="E388" s="57"/>
    </row>
    <row r="389" spans="1:5" ht="15.75" customHeight="1" x14ac:dyDescent="0.25">
      <c r="A389" s="56"/>
      <c r="E389" s="57"/>
    </row>
    <row r="390" spans="1:5" ht="15.75" customHeight="1" x14ac:dyDescent="0.25">
      <c r="A390" s="56"/>
      <c r="E390" s="57"/>
    </row>
    <row r="391" spans="1:5" ht="15.75" customHeight="1" x14ac:dyDescent="0.25">
      <c r="A391" s="56"/>
      <c r="E391" s="57"/>
    </row>
    <row r="392" spans="1:5" ht="15.75" customHeight="1" x14ac:dyDescent="0.25">
      <c r="A392" s="56"/>
      <c r="E392" s="57"/>
    </row>
    <row r="393" spans="1:5" ht="15.75" customHeight="1" x14ac:dyDescent="0.25">
      <c r="A393" s="56"/>
      <c r="E393" s="57"/>
    </row>
    <row r="394" spans="1:5" ht="15.75" customHeight="1" x14ac:dyDescent="0.25">
      <c r="A394" s="56"/>
      <c r="E394" s="57"/>
    </row>
    <row r="395" spans="1:5" ht="15.75" customHeight="1" x14ac:dyDescent="0.25">
      <c r="A395" s="56"/>
      <c r="E395" s="57"/>
    </row>
    <row r="396" spans="1:5" ht="15.75" customHeight="1" x14ac:dyDescent="0.25">
      <c r="A396" s="56"/>
      <c r="E396" s="57"/>
    </row>
    <row r="397" spans="1:5" ht="15.75" customHeight="1" x14ac:dyDescent="0.25">
      <c r="A397" s="56"/>
      <c r="E397" s="57"/>
    </row>
    <row r="398" spans="1:5" ht="15.75" customHeight="1" x14ac:dyDescent="0.25">
      <c r="A398" s="56"/>
      <c r="E398" s="57"/>
    </row>
    <row r="399" spans="1:5" ht="15.75" customHeight="1" x14ac:dyDescent="0.25">
      <c r="A399" s="56"/>
      <c r="E399" s="57"/>
    </row>
    <row r="400" spans="1:5" ht="15.75" customHeight="1" x14ac:dyDescent="0.25">
      <c r="A400" s="56"/>
      <c r="E400" s="57"/>
    </row>
    <row r="401" spans="1:5" ht="15.75" customHeight="1" x14ac:dyDescent="0.25">
      <c r="A401" s="56"/>
      <c r="E401" s="57"/>
    </row>
    <row r="402" spans="1:5" ht="15.75" customHeight="1" x14ac:dyDescent="0.25">
      <c r="A402" s="56"/>
      <c r="E402" s="57"/>
    </row>
    <row r="403" spans="1:5" ht="15.75" customHeight="1" x14ac:dyDescent="0.25">
      <c r="A403" s="56"/>
      <c r="E403" s="57"/>
    </row>
    <row r="404" spans="1:5" ht="15.75" customHeight="1" x14ac:dyDescent="0.25">
      <c r="A404" s="56"/>
      <c r="E404" s="57"/>
    </row>
    <row r="405" spans="1:5" ht="15.75" customHeight="1" x14ac:dyDescent="0.25">
      <c r="A405" s="56"/>
      <c r="E405" s="57"/>
    </row>
    <row r="406" spans="1:5" ht="15.75" customHeight="1" x14ac:dyDescent="0.25">
      <c r="A406" s="56"/>
      <c r="E406" s="57"/>
    </row>
    <row r="407" spans="1:5" ht="15.75" customHeight="1" x14ac:dyDescent="0.25">
      <c r="A407" s="56"/>
      <c r="E407" s="57"/>
    </row>
    <row r="408" spans="1:5" ht="15.75" customHeight="1" x14ac:dyDescent="0.25">
      <c r="A408" s="56"/>
      <c r="E408" s="57"/>
    </row>
    <row r="409" spans="1:5" ht="15.75" customHeight="1" x14ac:dyDescent="0.25">
      <c r="A409" s="56"/>
      <c r="E409" s="57"/>
    </row>
    <row r="410" spans="1:5" ht="15.75" customHeight="1" x14ac:dyDescent="0.25">
      <c r="A410" s="56"/>
      <c r="E410" s="57"/>
    </row>
    <row r="411" spans="1:5" ht="15.75" customHeight="1" x14ac:dyDescent="0.25">
      <c r="A411" s="56"/>
      <c r="E411" s="57"/>
    </row>
    <row r="412" spans="1:5" ht="15.75" customHeight="1" x14ac:dyDescent="0.25">
      <c r="A412" s="56"/>
      <c r="E412" s="57"/>
    </row>
    <row r="413" spans="1:5" ht="15.75" customHeight="1" x14ac:dyDescent="0.25">
      <c r="A413" s="56"/>
      <c r="E413" s="57"/>
    </row>
    <row r="414" spans="1:5" ht="15.75" customHeight="1" x14ac:dyDescent="0.25">
      <c r="A414" s="56"/>
      <c r="E414" s="57"/>
    </row>
    <row r="415" spans="1:5" ht="15.75" customHeight="1" x14ac:dyDescent="0.25">
      <c r="A415" s="56"/>
      <c r="E415" s="57"/>
    </row>
    <row r="416" spans="1:5" ht="15.75" customHeight="1" x14ac:dyDescent="0.25">
      <c r="A416" s="56"/>
      <c r="E416" s="57"/>
    </row>
    <row r="417" spans="1:5" ht="15.75" customHeight="1" x14ac:dyDescent="0.25">
      <c r="A417" s="56"/>
      <c r="E417" s="57"/>
    </row>
    <row r="418" spans="1:5" ht="15.75" customHeight="1" x14ac:dyDescent="0.25">
      <c r="A418" s="56"/>
      <c r="E418" s="57"/>
    </row>
    <row r="419" spans="1:5" ht="15.75" customHeight="1" x14ac:dyDescent="0.25">
      <c r="A419" s="56"/>
      <c r="E419" s="57"/>
    </row>
    <row r="420" spans="1:5" ht="15.75" customHeight="1" x14ac:dyDescent="0.25">
      <c r="A420" s="56"/>
      <c r="E420" s="57"/>
    </row>
    <row r="421" spans="1:5" ht="15.75" customHeight="1" x14ac:dyDescent="0.25">
      <c r="A421" s="56"/>
      <c r="E421" s="57"/>
    </row>
    <row r="422" spans="1:5" ht="15.75" customHeight="1" x14ac:dyDescent="0.25">
      <c r="A422" s="56"/>
      <c r="E422" s="57"/>
    </row>
    <row r="423" spans="1:5" ht="15.75" customHeight="1" x14ac:dyDescent="0.25">
      <c r="A423" s="56"/>
      <c r="E423" s="57"/>
    </row>
    <row r="424" spans="1:5" ht="15.75" customHeight="1" x14ac:dyDescent="0.25">
      <c r="A424" s="56"/>
      <c r="E424" s="57"/>
    </row>
    <row r="425" spans="1:5" ht="15.75" customHeight="1" x14ac:dyDescent="0.25">
      <c r="A425" s="56"/>
      <c r="E425" s="57"/>
    </row>
    <row r="426" spans="1:5" ht="15.75" customHeight="1" x14ac:dyDescent="0.25">
      <c r="A426" s="56"/>
      <c r="E426" s="57"/>
    </row>
    <row r="427" spans="1:5" ht="15.75" customHeight="1" x14ac:dyDescent="0.25">
      <c r="A427" s="56"/>
      <c r="E427" s="57"/>
    </row>
    <row r="428" spans="1:5" ht="15.75" customHeight="1" x14ac:dyDescent="0.25">
      <c r="A428" s="56"/>
      <c r="E428" s="57"/>
    </row>
    <row r="429" spans="1:5" ht="15.75" customHeight="1" x14ac:dyDescent="0.25">
      <c r="A429" s="56"/>
      <c r="E429" s="57"/>
    </row>
    <row r="430" spans="1:5" ht="15.75" customHeight="1" x14ac:dyDescent="0.25">
      <c r="A430" s="56"/>
      <c r="E430" s="57"/>
    </row>
    <row r="431" spans="1:5" ht="15.75" customHeight="1" x14ac:dyDescent="0.25">
      <c r="A431" s="56"/>
      <c r="E431" s="57"/>
    </row>
    <row r="432" spans="1:5" ht="15.75" customHeight="1" x14ac:dyDescent="0.25">
      <c r="A432" s="56"/>
      <c r="E432" s="57"/>
    </row>
    <row r="433" spans="1:5" ht="15.75" customHeight="1" x14ac:dyDescent="0.25">
      <c r="A433" s="56"/>
      <c r="E433" s="57"/>
    </row>
    <row r="434" spans="1:5" ht="15.75" customHeight="1" x14ac:dyDescent="0.25">
      <c r="A434" s="56"/>
      <c r="E434" s="57"/>
    </row>
    <row r="435" spans="1:5" ht="15.75" customHeight="1" x14ac:dyDescent="0.25">
      <c r="A435" s="56"/>
      <c r="E435" s="57"/>
    </row>
    <row r="436" spans="1:5" ht="15.75" customHeight="1" x14ac:dyDescent="0.25">
      <c r="A436" s="56"/>
      <c r="E436" s="57"/>
    </row>
    <row r="437" spans="1:5" ht="15.75" customHeight="1" x14ac:dyDescent="0.25">
      <c r="A437" s="56"/>
      <c r="E437" s="57"/>
    </row>
    <row r="438" spans="1:5" ht="15.75" customHeight="1" x14ac:dyDescent="0.25">
      <c r="A438" s="56"/>
      <c r="E438" s="57"/>
    </row>
    <row r="439" spans="1:5" ht="15.75" customHeight="1" x14ac:dyDescent="0.25">
      <c r="A439" s="56"/>
      <c r="E439" s="57"/>
    </row>
    <row r="440" spans="1:5" ht="15.75" customHeight="1" x14ac:dyDescent="0.25">
      <c r="A440" s="56"/>
      <c r="E440" s="57"/>
    </row>
    <row r="441" spans="1:5" ht="15.75" customHeight="1" x14ac:dyDescent="0.25">
      <c r="A441" s="56"/>
      <c r="E441" s="57"/>
    </row>
    <row r="442" spans="1:5" ht="15.75" customHeight="1" x14ac:dyDescent="0.25">
      <c r="A442" s="56"/>
      <c r="E442" s="57"/>
    </row>
    <row r="443" spans="1:5" ht="15.75" customHeight="1" x14ac:dyDescent="0.25">
      <c r="A443" s="56"/>
      <c r="E443" s="57"/>
    </row>
    <row r="444" spans="1:5" ht="15.75" customHeight="1" x14ac:dyDescent="0.25">
      <c r="A444" s="56"/>
      <c r="E444" s="57"/>
    </row>
    <row r="445" spans="1:5" ht="15.75" customHeight="1" x14ac:dyDescent="0.25">
      <c r="A445" s="56"/>
      <c r="E445" s="57"/>
    </row>
    <row r="446" spans="1:5" ht="15.75" customHeight="1" x14ac:dyDescent="0.25">
      <c r="A446" s="56"/>
      <c r="E446" s="57"/>
    </row>
    <row r="447" spans="1:5" ht="15.75" customHeight="1" x14ac:dyDescent="0.25">
      <c r="A447" s="56"/>
      <c r="E447" s="57"/>
    </row>
    <row r="448" spans="1:5" ht="15.75" customHeight="1" x14ac:dyDescent="0.25">
      <c r="A448" s="56"/>
      <c r="E448" s="57"/>
    </row>
    <row r="449" spans="1:5" ht="15.75" customHeight="1" x14ac:dyDescent="0.25">
      <c r="A449" s="56"/>
      <c r="E449" s="57"/>
    </row>
    <row r="450" spans="1:5" ht="15.75" customHeight="1" x14ac:dyDescent="0.25">
      <c r="A450" s="56"/>
      <c r="E450" s="57"/>
    </row>
    <row r="451" spans="1:5" ht="15.75" customHeight="1" x14ac:dyDescent="0.25">
      <c r="A451" s="56"/>
      <c r="E451" s="57"/>
    </row>
    <row r="452" spans="1:5" ht="15.75" customHeight="1" x14ac:dyDescent="0.25">
      <c r="A452" s="56"/>
      <c r="E452" s="57"/>
    </row>
    <row r="453" spans="1:5" ht="15.75" customHeight="1" x14ac:dyDescent="0.25">
      <c r="A453" s="56"/>
      <c r="E453" s="57"/>
    </row>
    <row r="454" spans="1:5" ht="15.75" customHeight="1" x14ac:dyDescent="0.25">
      <c r="A454" s="56"/>
      <c r="E454" s="57"/>
    </row>
    <row r="455" spans="1:5" ht="15.75" customHeight="1" x14ac:dyDescent="0.25">
      <c r="A455" s="56"/>
      <c r="E455" s="57"/>
    </row>
    <row r="456" spans="1:5" ht="15.75" customHeight="1" x14ac:dyDescent="0.25">
      <c r="A456" s="56"/>
      <c r="E456" s="57"/>
    </row>
    <row r="457" spans="1:5" ht="15.75" customHeight="1" x14ac:dyDescent="0.25">
      <c r="A457" s="56"/>
      <c r="E457" s="57"/>
    </row>
    <row r="458" spans="1:5" ht="15.75" customHeight="1" x14ac:dyDescent="0.25">
      <c r="A458" s="56"/>
      <c r="E458" s="57"/>
    </row>
    <row r="459" spans="1:5" ht="15.75" customHeight="1" x14ac:dyDescent="0.25">
      <c r="A459" s="56"/>
      <c r="E459" s="57"/>
    </row>
    <row r="460" spans="1:5" ht="15.75" customHeight="1" x14ac:dyDescent="0.25">
      <c r="A460" s="56"/>
      <c r="E460" s="57"/>
    </row>
    <row r="461" spans="1:5" ht="15.75" customHeight="1" x14ac:dyDescent="0.25">
      <c r="A461" s="56"/>
      <c r="E461" s="57"/>
    </row>
    <row r="462" spans="1:5" ht="15.75" customHeight="1" x14ac:dyDescent="0.25">
      <c r="A462" s="56"/>
      <c r="E462" s="57"/>
    </row>
    <row r="463" spans="1:5" ht="15.75" customHeight="1" x14ac:dyDescent="0.25">
      <c r="A463" s="56"/>
      <c r="E463" s="57"/>
    </row>
    <row r="464" spans="1:5" ht="15.75" customHeight="1" x14ac:dyDescent="0.25">
      <c r="A464" s="56"/>
      <c r="E464" s="57"/>
    </row>
    <row r="465" spans="1:5" ht="15.75" customHeight="1" x14ac:dyDescent="0.25">
      <c r="A465" s="56"/>
      <c r="E465" s="57"/>
    </row>
    <row r="466" spans="1:5" ht="15.75" customHeight="1" x14ac:dyDescent="0.25">
      <c r="A466" s="56"/>
      <c r="E466" s="57"/>
    </row>
    <row r="467" spans="1:5" ht="15.75" customHeight="1" x14ac:dyDescent="0.25">
      <c r="A467" s="56"/>
      <c r="E467" s="57"/>
    </row>
    <row r="468" spans="1:5" ht="15.75" customHeight="1" x14ac:dyDescent="0.25">
      <c r="A468" s="56"/>
      <c r="E468" s="57"/>
    </row>
    <row r="469" spans="1:5" ht="15.75" customHeight="1" x14ac:dyDescent="0.25">
      <c r="A469" s="56"/>
      <c r="E469" s="57"/>
    </row>
    <row r="470" spans="1:5" ht="15.75" customHeight="1" x14ac:dyDescent="0.25">
      <c r="A470" s="56"/>
      <c r="E470" s="57"/>
    </row>
    <row r="471" spans="1:5" ht="15.75" customHeight="1" x14ac:dyDescent="0.25">
      <c r="A471" s="56"/>
      <c r="E471" s="57"/>
    </row>
    <row r="472" spans="1:5" ht="15.75" customHeight="1" x14ac:dyDescent="0.25">
      <c r="A472" s="56"/>
      <c r="E472" s="57"/>
    </row>
    <row r="473" spans="1:5" ht="15.75" customHeight="1" x14ac:dyDescent="0.25">
      <c r="A473" s="56"/>
      <c r="E473" s="57"/>
    </row>
    <row r="474" spans="1:5" ht="15.75" customHeight="1" x14ac:dyDescent="0.25">
      <c r="A474" s="56"/>
      <c r="E474" s="57"/>
    </row>
    <row r="475" spans="1:5" ht="15.75" customHeight="1" x14ac:dyDescent="0.25">
      <c r="A475" s="56"/>
      <c r="E475" s="57"/>
    </row>
    <row r="476" spans="1:5" ht="15.75" customHeight="1" x14ac:dyDescent="0.25">
      <c r="A476" s="56"/>
      <c r="E476" s="57"/>
    </row>
    <row r="477" spans="1:5" ht="15.75" customHeight="1" x14ac:dyDescent="0.25">
      <c r="A477" s="56"/>
      <c r="E477" s="57"/>
    </row>
    <row r="478" spans="1:5" ht="15.75" customHeight="1" x14ac:dyDescent="0.25">
      <c r="A478" s="56"/>
      <c r="E478" s="57"/>
    </row>
    <row r="479" spans="1:5" ht="15.75" customHeight="1" x14ac:dyDescent="0.25">
      <c r="A479" s="56"/>
      <c r="E479" s="57"/>
    </row>
    <row r="480" spans="1:5" ht="15.75" customHeight="1" x14ac:dyDescent="0.25">
      <c r="A480" s="56"/>
      <c r="E480" s="57"/>
    </row>
    <row r="481" spans="1:5" ht="15.75" customHeight="1" x14ac:dyDescent="0.25">
      <c r="A481" s="56"/>
      <c r="E481" s="57"/>
    </row>
    <row r="482" spans="1:5" ht="15.75" customHeight="1" x14ac:dyDescent="0.25">
      <c r="A482" s="56"/>
      <c r="E482" s="57"/>
    </row>
    <row r="483" spans="1:5" ht="15.75" customHeight="1" x14ac:dyDescent="0.25">
      <c r="A483" s="56"/>
      <c r="E483" s="57"/>
    </row>
    <row r="484" spans="1:5" ht="15.75" customHeight="1" x14ac:dyDescent="0.25">
      <c r="A484" s="56"/>
      <c r="E484" s="57"/>
    </row>
    <row r="485" spans="1:5" ht="15.75" customHeight="1" x14ac:dyDescent="0.25">
      <c r="A485" s="56"/>
      <c r="E485" s="57"/>
    </row>
    <row r="486" spans="1:5" ht="15.75" customHeight="1" x14ac:dyDescent="0.25">
      <c r="A486" s="56"/>
      <c r="E486" s="57"/>
    </row>
    <row r="487" spans="1:5" ht="15.75" customHeight="1" x14ac:dyDescent="0.25">
      <c r="A487" s="56"/>
      <c r="E487" s="57"/>
    </row>
    <row r="488" spans="1:5" ht="15.75" customHeight="1" x14ac:dyDescent="0.25">
      <c r="A488" s="56"/>
      <c r="E488" s="57"/>
    </row>
    <row r="489" spans="1:5" ht="15.75" customHeight="1" x14ac:dyDescent="0.25">
      <c r="A489" s="56"/>
      <c r="E489" s="57"/>
    </row>
    <row r="490" spans="1:5" ht="15.75" customHeight="1" x14ac:dyDescent="0.25">
      <c r="A490" s="56"/>
      <c r="E490" s="57"/>
    </row>
    <row r="491" spans="1:5" ht="15.75" customHeight="1" x14ac:dyDescent="0.25">
      <c r="A491" s="56"/>
      <c r="E491" s="57"/>
    </row>
    <row r="492" spans="1:5" ht="15.75" customHeight="1" x14ac:dyDescent="0.25">
      <c r="A492" s="56"/>
      <c r="E492" s="57"/>
    </row>
    <row r="493" spans="1:5" ht="15.75" customHeight="1" x14ac:dyDescent="0.25">
      <c r="A493" s="56"/>
      <c r="E493" s="57"/>
    </row>
    <row r="494" spans="1:5" ht="15.75" customHeight="1" x14ac:dyDescent="0.25">
      <c r="A494" s="56"/>
      <c r="E494" s="57"/>
    </row>
    <row r="495" spans="1:5" ht="15.75" customHeight="1" x14ac:dyDescent="0.25">
      <c r="A495" s="56"/>
      <c r="E495" s="57"/>
    </row>
    <row r="496" spans="1:5" ht="15.75" customHeight="1" x14ac:dyDescent="0.25">
      <c r="A496" s="56"/>
      <c r="E496" s="57"/>
    </row>
    <row r="497" spans="1:5" ht="15.75" customHeight="1" x14ac:dyDescent="0.25">
      <c r="A497" s="56"/>
      <c r="E497" s="57"/>
    </row>
    <row r="498" spans="1:5" ht="15.75" customHeight="1" x14ac:dyDescent="0.25">
      <c r="A498" s="56"/>
      <c r="E498" s="57"/>
    </row>
    <row r="499" spans="1:5" ht="15.75" customHeight="1" x14ac:dyDescent="0.25">
      <c r="A499" s="56"/>
      <c r="E499" s="57"/>
    </row>
    <row r="500" spans="1:5" ht="15.75" customHeight="1" x14ac:dyDescent="0.25">
      <c r="A500" s="56"/>
      <c r="E500" s="57"/>
    </row>
    <row r="501" spans="1:5" ht="15.75" customHeight="1" x14ac:dyDescent="0.25">
      <c r="A501" s="56"/>
      <c r="E501" s="57"/>
    </row>
    <row r="502" spans="1:5" ht="15.75" customHeight="1" x14ac:dyDescent="0.25">
      <c r="A502" s="56"/>
      <c r="E502" s="57"/>
    </row>
    <row r="503" spans="1:5" ht="15.75" customHeight="1" x14ac:dyDescent="0.25">
      <c r="A503" s="56"/>
      <c r="E503" s="57"/>
    </row>
    <row r="504" spans="1:5" ht="15.75" customHeight="1" x14ac:dyDescent="0.25">
      <c r="A504" s="56"/>
      <c r="E504" s="57"/>
    </row>
    <row r="505" spans="1:5" ht="15.75" customHeight="1" x14ac:dyDescent="0.25">
      <c r="A505" s="56"/>
      <c r="E505" s="57"/>
    </row>
    <row r="506" spans="1:5" ht="15.75" customHeight="1" x14ac:dyDescent="0.25">
      <c r="A506" s="56"/>
      <c r="E506" s="57"/>
    </row>
    <row r="507" spans="1:5" ht="15.75" customHeight="1" x14ac:dyDescent="0.25">
      <c r="A507" s="56"/>
      <c r="E507" s="57"/>
    </row>
    <row r="508" spans="1:5" ht="15.75" customHeight="1" x14ac:dyDescent="0.25">
      <c r="A508" s="56"/>
      <c r="E508" s="57"/>
    </row>
    <row r="509" spans="1:5" ht="15.75" customHeight="1" x14ac:dyDescent="0.25">
      <c r="A509" s="56"/>
      <c r="E509" s="57"/>
    </row>
    <row r="510" spans="1:5" ht="15.75" customHeight="1" x14ac:dyDescent="0.25">
      <c r="A510" s="56"/>
      <c r="E510" s="57"/>
    </row>
    <row r="511" spans="1:5" ht="15.75" customHeight="1" x14ac:dyDescent="0.25">
      <c r="A511" s="56"/>
      <c r="E511" s="57"/>
    </row>
    <row r="512" spans="1:5" ht="15.75" customHeight="1" x14ac:dyDescent="0.25">
      <c r="A512" s="56"/>
      <c r="E512" s="57"/>
    </row>
    <row r="513" spans="1:5" ht="15.75" customHeight="1" x14ac:dyDescent="0.25">
      <c r="A513" s="56"/>
      <c r="E513" s="57"/>
    </row>
    <row r="514" spans="1:5" ht="15.75" customHeight="1" x14ac:dyDescent="0.25">
      <c r="A514" s="56"/>
      <c r="E514" s="57"/>
    </row>
    <row r="515" spans="1:5" ht="15.75" customHeight="1" x14ac:dyDescent="0.25">
      <c r="A515" s="56"/>
      <c r="E515" s="57"/>
    </row>
    <row r="516" spans="1:5" ht="15.75" customHeight="1" x14ac:dyDescent="0.25">
      <c r="A516" s="56"/>
      <c r="E516" s="57"/>
    </row>
    <row r="517" spans="1:5" ht="15.75" customHeight="1" x14ac:dyDescent="0.25">
      <c r="A517" s="56"/>
      <c r="E517" s="57"/>
    </row>
    <row r="518" spans="1:5" ht="15.75" customHeight="1" x14ac:dyDescent="0.25">
      <c r="A518" s="56"/>
      <c r="E518" s="57"/>
    </row>
    <row r="519" spans="1:5" ht="15.75" customHeight="1" x14ac:dyDescent="0.25">
      <c r="A519" s="56"/>
      <c r="E519" s="57"/>
    </row>
    <row r="520" spans="1:5" ht="15.75" customHeight="1" x14ac:dyDescent="0.25">
      <c r="A520" s="56"/>
      <c r="E520" s="57"/>
    </row>
    <row r="521" spans="1:5" ht="15.75" customHeight="1" x14ac:dyDescent="0.25">
      <c r="A521" s="56"/>
      <c r="E521" s="57"/>
    </row>
    <row r="522" spans="1:5" ht="15.75" customHeight="1" x14ac:dyDescent="0.25">
      <c r="A522" s="56"/>
      <c r="E522" s="57"/>
    </row>
    <row r="523" spans="1:5" ht="15.75" customHeight="1" x14ac:dyDescent="0.25">
      <c r="A523" s="56"/>
      <c r="E523" s="57"/>
    </row>
    <row r="524" spans="1:5" ht="15.75" customHeight="1" x14ac:dyDescent="0.25">
      <c r="A524" s="56"/>
      <c r="E524" s="57"/>
    </row>
    <row r="525" spans="1:5" ht="15.75" customHeight="1" x14ac:dyDescent="0.25">
      <c r="A525" s="56"/>
      <c r="E525" s="57"/>
    </row>
    <row r="526" spans="1:5" ht="15.75" customHeight="1" x14ac:dyDescent="0.25">
      <c r="A526" s="56"/>
      <c r="E526" s="57"/>
    </row>
    <row r="527" spans="1:5" ht="15.75" customHeight="1" x14ac:dyDescent="0.25">
      <c r="A527" s="56"/>
      <c r="E527" s="57"/>
    </row>
    <row r="528" spans="1:5" ht="15.75" customHeight="1" x14ac:dyDescent="0.25">
      <c r="A528" s="56"/>
      <c r="E528" s="57"/>
    </row>
    <row r="529" spans="1:5" ht="15.75" customHeight="1" x14ac:dyDescent="0.25">
      <c r="A529" s="56"/>
      <c r="E529" s="57"/>
    </row>
    <row r="530" spans="1:5" ht="15.75" customHeight="1" x14ac:dyDescent="0.25">
      <c r="A530" s="56"/>
      <c r="E530" s="57"/>
    </row>
    <row r="531" spans="1:5" ht="15.75" customHeight="1" x14ac:dyDescent="0.25">
      <c r="A531" s="56"/>
      <c r="E531" s="57"/>
    </row>
    <row r="532" spans="1:5" ht="15.75" customHeight="1" x14ac:dyDescent="0.25">
      <c r="A532" s="56"/>
      <c r="E532" s="57"/>
    </row>
    <row r="533" spans="1:5" ht="15.75" customHeight="1" x14ac:dyDescent="0.25">
      <c r="A533" s="56"/>
      <c r="E533" s="57"/>
    </row>
    <row r="534" spans="1:5" ht="15.75" customHeight="1" x14ac:dyDescent="0.25">
      <c r="A534" s="56"/>
      <c r="E534" s="57"/>
    </row>
    <row r="535" spans="1:5" ht="15.75" customHeight="1" x14ac:dyDescent="0.25">
      <c r="A535" s="56"/>
      <c r="E535" s="57"/>
    </row>
    <row r="536" spans="1:5" ht="15.75" customHeight="1" x14ac:dyDescent="0.25">
      <c r="A536" s="56"/>
      <c r="E536" s="57"/>
    </row>
    <row r="537" spans="1:5" ht="15.75" customHeight="1" x14ac:dyDescent="0.25">
      <c r="A537" s="56"/>
      <c r="E537" s="57"/>
    </row>
    <row r="538" spans="1:5" ht="15.75" customHeight="1" x14ac:dyDescent="0.25">
      <c r="A538" s="56"/>
      <c r="E538" s="57"/>
    </row>
    <row r="539" spans="1:5" ht="15.75" customHeight="1" x14ac:dyDescent="0.25">
      <c r="A539" s="56"/>
      <c r="E539" s="57"/>
    </row>
    <row r="540" spans="1:5" ht="15.75" customHeight="1" x14ac:dyDescent="0.25">
      <c r="A540" s="56"/>
      <c r="E540" s="57"/>
    </row>
    <row r="541" spans="1:5" ht="15.75" customHeight="1" x14ac:dyDescent="0.25">
      <c r="A541" s="56"/>
      <c r="E541" s="57"/>
    </row>
    <row r="542" spans="1:5" ht="15.75" customHeight="1" x14ac:dyDescent="0.25">
      <c r="A542" s="56"/>
      <c r="E542" s="57"/>
    </row>
    <row r="543" spans="1:5" ht="15.75" customHeight="1" x14ac:dyDescent="0.25">
      <c r="A543" s="56"/>
      <c r="E543" s="57"/>
    </row>
    <row r="544" spans="1:5" ht="15.75" customHeight="1" x14ac:dyDescent="0.25">
      <c r="A544" s="56"/>
      <c r="E544" s="57"/>
    </row>
    <row r="545" spans="1:5" ht="15.75" customHeight="1" x14ac:dyDescent="0.25">
      <c r="A545" s="56"/>
      <c r="E545" s="57"/>
    </row>
    <row r="546" spans="1:5" ht="15.75" customHeight="1" x14ac:dyDescent="0.25">
      <c r="A546" s="56"/>
      <c r="E546" s="57"/>
    </row>
    <row r="547" spans="1:5" ht="15.75" customHeight="1" x14ac:dyDescent="0.25">
      <c r="A547" s="56"/>
      <c r="E547" s="57"/>
    </row>
    <row r="548" spans="1:5" ht="15.75" customHeight="1" x14ac:dyDescent="0.25">
      <c r="A548" s="56"/>
      <c r="E548" s="57"/>
    </row>
    <row r="549" spans="1:5" ht="15.75" customHeight="1" x14ac:dyDescent="0.25">
      <c r="A549" s="56"/>
      <c r="E549" s="57"/>
    </row>
    <row r="550" spans="1:5" ht="15.75" customHeight="1" x14ac:dyDescent="0.25">
      <c r="A550" s="56"/>
      <c r="E550" s="57"/>
    </row>
    <row r="551" spans="1:5" ht="15.75" customHeight="1" x14ac:dyDescent="0.25">
      <c r="A551" s="56"/>
      <c r="E551" s="57"/>
    </row>
    <row r="552" spans="1:5" ht="15.75" customHeight="1" x14ac:dyDescent="0.25">
      <c r="A552" s="56"/>
      <c r="E552" s="57"/>
    </row>
    <row r="553" spans="1:5" ht="15.75" customHeight="1" x14ac:dyDescent="0.25">
      <c r="A553" s="56"/>
      <c r="E553" s="57"/>
    </row>
    <row r="554" spans="1:5" ht="15.75" customHeight="1" x14ac:dyDescent="0.25">
      <c r="A554" s="56"/>
      <c r="E554" s="57"/>
    </row>
    <row r="555" spans="1:5" ht="15.75" customHeight="1" x14ac:dyDescent="0.25">
      <c r="A555" s="56"/>
      <c r="E555" s="57"/>
    </row>
    <row r="556" spans="1:5" ht="15.75" customHeight="1" x14ac:dyDescent="0.25">
      <c r="A556" s="56"/>
      <c r="E556" s="57"/>
    </row>
    <row r="557" spans="1:5" ht="15.75" customHeight="1" x14ac:dyDescent="0.25">
      <c r="A557" s="56"/>
      <c r="E557" s="57"/>
    </row>
    <row r="558" spans="1:5" ht="15.75" customHeight="1" x14ac:dyDescent="0.25">
      <c r="A558" s="56"/>
      <c r="E558" s="57"/>
    </row>
    <row r="559" spans="1:5" ht="15.75" customHeight="1" x14ac:dyDescent="0.25">
      <c r="A559" s="56"/>
      <c r="E559" s="57"/>
    </row>
    <row r="560" spans="1:5" ht="15.75" customHeight="1" x14ac:dyDescent="0.25">
      <c r="A560" s="56"/>
      <c r="E560" s="57"/>
    </row>
    <row r="561" spans="1:5" ht="15.75" customHeight="1" x14ac:dyDescent="0.25">
      <c r="A561" s="56"/>
      <c r="E561" s="57"/>
    </row>
    <row r="562" spans="1:5" ht="15.75" customHeight="1" x14ac:dyDescent="0.25">
      <c r="A562" s="56"/>
      <c r="E562" s="57"/>
    </row>
    <row r="563" spans="1:5" ht="15.75" customHeight="1" x14ac:dyDescent="0.25">
      <c r="A563" s="56"/>
      <c r="E563" s="57"/>
    </row>
    <row r="564" spans="1:5" ht="15.75" customHeight="1" x14ac:dyDescent="0.25">
      <c r="A564" s="56"/>
      <c r="E564" s="57"/>
    </row>
    <row r="565" spans="1:5" ht="15.75" customHeight="1" x14ac:dyDescent="0.25">
      <c r="A565" s="56"/>
      <c r="E565" s="57"/>
    </row>
    <row r="566" spans="1:5" ht="15.75" customHeight="1" x14ac:dyDescent="0.25">
      <c r="A566" s="56"/>
      <c r="E566" s="57"/>
    </row>
    <row r="567" spans="1:5" ht="15.75" customHeight="1" x14ac:dyDescent="0.25">
      <c r="A567" s="56"/>
      <c r="E567" s="57"/>
    </row>
    <row r="568" spans="1:5" ht="15.75" customHeight="1" x14ac:dyDescent="0.25">
      <c r="A568" s="56"/>
      <c r="E568" s="57"/>
    </row>
    <row r="569" spans="1:5" ht="15.75" customHeight="1" x14ac:dyDescent="0.25">
      <c r="A569" s="56"/>
      <c r="E569" s="57"/>
    </row>
    <row r="570" spans="1:5" ht="15.75" customHeight="1" x14ac:dyDescent="0.25">
      <c r="A570" s="56"/>
      <c r="E570" s="57"/>
    </row>
    <row r="571" spans="1:5" ht="15.75" customHeight="1" x14ac:dyDescent="0.25">
      <c r="A571" s="56"/>
      <c r="E571" s="57"/>
    </row>
    <row r="572" spans="1:5" ht="15.75" customHeight="1" x14ac:dyDescent="0.25">
      <c r="A572" s="56"/>
      <c r="E572" s="57"/>
    </row>
    <row r="573" spans="1:5" ht="15.75" customHeight="1" x14ac:dyDescent="0.25">
      <c r="A573" s="56"/>
      <c r="E573" s="57"/>
    </row>
    <row r="574" spans="1:5" ht="15.75" customHeight="1" x14ac:dyDescent="0.25">
      <c r="A574" s="56"/>
      <c r="E574" s="57"/>
    </row>
    <row r="575" spans="1:5" ht="15.75" customHeight="1" x14ac:dyDescent="0.25">
      <c r="A575" s="56"/>
      <c r="E575" s="57"/>
    </row>
    <row r="576" spans="1:5" ht="15.75" customHeight="1" x14ac:dyDescent="0.25">
      <c r="A576" s="56"/>
      <c r="E576" s="57"/>
    </row>
    <row r="577" spans="1:5" ht="15.75" customHeight="1" x14ac:dyDescent="0.25">
      <c r="A577" s="56"/>
      <c r="E577" s="57"/>
    </row>
    <row r="578" spans="1:5" ht="15.75" customHeight="1" x14ac:dyDescent="0.25">
      <c r="A578" s="56"/>
      <c r="E578" s="57"/>
    </row>
    <row r="579" spans="1:5" ht="15.75" customHeight="1" x14ac:dyDescent="0.25">
      <c r="A579" s="56"/>
      <c r="E579" s="57"/>
    </row>
    <row r="580" spans="1:5" ht="15.75" customHeight="1" x14ac:dyDescent="0.25">
      <c r="A580" s="56"/>
      <c r="E580" s="57"/>
    </row>
    <row r="581" spans="1:5" ht="15.75" customHeight="1" x14ac:dyDescent="0.25">
      <c r="A581" s="56"/>
      <c r="E581" s="57"/>
    </row>
    <row r="582" spans="1:5" ht="15.75" customHeight="1" x14ac:dyDescent="0.25">
      <c r="A582" s="56"/>
      <c r="E582" s="57"/>
    </row>
    <row r="583" spans="1:5" ht="15.75" customHeight="1" x14ac:dyDescent="0.25">
      <c r="A583" s="56"/>
      <c r="E583" s="57"/>
    </row>
    <row r="584" spans="1:5" ht="15.75" customHeight="1" x14ac:dyDescent="0.25">
      <c r="A584" s="56"/>
      <c r="E584" s="57"/>
    </row>
    <row r="585" spans="1:5" ht="15.75" customHeight="1" x14ac:dyDescent="0.25">
      <c r="A585" s="56"/>
      <c r="E585" s="57"/>
    </row>
    <row r="586" spans="1:5" ht="15.75" customHeight="1" x14ac:dyDescent="0.25">
      <c r="A586" s="56"/>
      <c r="E586" s="57"/>
    </row>
    <row r="587" spans="1:5" ht="15.75" customHeight="1" x14ac:dyDescent="0.25">
      <c r="A587" s="56"/>
      <c r="E587" s="57"/>
    </row>
    <row r="588" spans="1:5" ht="15.75" customHeight="1" x14ac:dyDescent="0.25">
      <c r="A588" s="56"/>
      <c r="E588" s="57"/>
    </row>
    <row r="589" spans="1:5" ht="15.75" customHeight="1" x14ac:dyDescent="0.25">
      <c r="A589" s="56"/>
      <c r="E589" s="57"/>
    </row>
    <row r="590" spans="1:5" ht="15.75" customHeight="1" x14ac:dyDescent="0.25">
      <c r="A590" s="56"/>
      <c r="E590" s="57"/>
    </row>
    <row r="591" spans="1:5" ht="15.75" customHeight="1" x14ac:dyDescent="0.25">
      <c r="A591" s="56"/>
      <c r="E591" s="57"/>
    </row>
    <row r="592" spans="1:5" ht="15.75" customHeight="1" x14ac:dyDescent="0.25">
      <c r="A592" s="56"/>
      <c r="E592" s="57"/>
    </row>
    <row r="593" spans="1:5" ht="15.75" customHeight="1" x14ac:dyDescent="0.25">
      <c r="A593" s="56"/>
      <c r="E593" s="57"/>
    </row>
    <row r="594" spans="1:5" ht="15.75" customHeight="1" x14ac:dyDescent="0.25">
      <c r="A594" s="56"/>
      <c r="E594" s="57"/>
    </row>
    <row r="595" spans="1:5" ht="15.75" customHeight="1" x14ac:dyDescent="0.25">
      <c r="A595" s="56"/>
      <c r="E595" s="57"/>
    </row>
    <row r="596" spans="1:5" ht="15.75" customHeight="1" x14ac:dyDescent="0.25">
      <c r="A596" s="56"/>
      <c r="E596" s="57"/>
    </row>
    <row r="597" spans="1:5" ht="15.75" customHeight="1" x14ac:dyDescent="0.25">
      <c r="A597" s="56"/>
      <c r="E597" s="57"/>
    </row>
    <row r="598" spans="1:5" ht="15.75" customHeight="1" x14ac:dyDescent="0.25">
      <c r="A598" s="56"/>
      <c r="E598" s="57"/>
    </row>
    <row r="599" spans="1:5" ht="15.75" customHeight="1" x14ac:dyDescent="0.25">
      <c r="A599" s="56"/>
      <c r="E599" s="57"/>
    </row>
    <row r="600" spans="1:5" ht="15.75" customHeight="1" x14ac:dyDescent="0.25">
      <c r="A600" s="56"/>
      <c r="E600" s="57"/>
    </row>
    <row r="601" spans="1:5" ht="15.75" customHeight="1" x14ac:dyDescent="0.25">
      <c r="A601" s="56"/>
      <c r="E601" s="57"/>
    </row>
    <row r="602" spans="1:5" ht="15.75" customHeight="1" x14ac:dyDescent="0.25">
      <c r="A602" s="56"/>
      <c r="E602" s="57"/>
    </row>
    <row r="603" spans="1:5" ht="15.75" customHeight="1" x14ac:dyDescent="0.25">
      <c r="A603" s="56"/>
      <c r="E603" s="57"/>
    </row>
    <row r="604" spans="1:5" ht="15.75" customHeight="1" x14ac:dyDescent="0.25">
      <c r="A604" s="56"/>
      <c r="E604" s="57"/>
    </row>
    <row r="605" spans="1:5" ht="15.75" customHeight="1" x14ac:dyDescent="0.25">
      <c r="A605" s="56"/>
      <c r="E605" s="57"/>
    </row>
    <row r="606" spans="1:5" ht="15.75" customHeight="1" x14ac:dyDescent="0.25">
      <c r="A606" s="56"/>
      <c r="E606" s="57"/>
    </row>
    <row r="607" spans="1:5" ht="15.75" customHeight="1" x14ac:dyDescent="0.25">
      <c r="A607" s="56"/>
      <c r="E607" s="57"/>
    </row>
    <row r="608" spans="1:5" ht="15.75" customHeight="1" x14ac:dyDescent="0.25">
      <c r="A608" s="56"/>
      <c r="E608" s="57"/>
    </row>
    <row r="609" spans="1:5" ht="15.75" customHeight="1" x14ac:dyDescent="0.25">
      <c r="A609" s="56"/>
      <c r="E609" s="57"/>
    </row>
    <row r="610" spans="1:5" ht="15.75" customHeight="1" x14ac:dyDescent="0.25">
      <c r="A610" s="56"/>
      <c r="E610" s="57"/>
    </row>
    <row r="611" spans="1:5" ht="15.75" customHeight="1" x14ac:dyDescent="0.25">
      <c r="A611" s="56"/>
      <c r="E611" s="57"/>
    </row>
    <row r="612" spans="1:5" ht="15.75" customHeight="1" x14ac:dyDescent="0.25">
      <c r="A612" s="56"/>
      <c r="E612" s="57"/>
    </row>
    <row r="613" spans="1:5" ht="15.75" customHeight="1" x14ac:dyDescent="0.25">
      <c r="A613" s="56"/>
      <c r="E613" s="57"/>
    </row>
    <row r="614" spans="1:5" ht="15.75" customHeight="1" x14ac:dyDescent="0.25">
      <c r="A614" s="56"/>
      <c r="E614" s="57"/>
    </row>
    <row r="615" spans="1:5" ht="15.75" customHeight="1" x14ac:dyDescent="0.25">
      <c r="A615" s="56"/>
      <c r="E615" s="57"/>
    </row>
    <row r="616" spans="1:5" ht="15.75" customHeight="1" x14ac:dyDescent="0.25">
      <c r="A616" s="56"/>
      <c r="E616" s="57"/>
    </row>
    <row r="617" spans="1:5" ht="15.75" customHeight="1" x14ac:dyDescent="0.25">
      <c r="A617" s="56"/>
      <c r="E617" s="57"/>
    </row>
    <row r="618" spans="1:5" ht="15.75" customHeight="1" x14ac:dyDescent="0.25">
      <c r="A618" s="56"/>
      <c r="E618" s="57"/>
    </row>
    <row r="619" spans="1:5" ht="15.75" customHeight="1" x14ac:dyDescent="0.25">
      <c r="A619" s="56"/>
      <c r="E619" s="57"/>
    </row>
    <row r="620" spans="1:5" ht="15.75" customHeight="1" x14ac:dyDescent="0.25">
      <c r="A620" s="56"/>
      <c r="E620" s="57"/>
    </row>
    <row r="621" spans="1:5" ht="15.75" customHeight="1" x14ac:dyDescent="0.25">
      <c r="A621" s="56"/>
      <c r="E621" s="57"/>
    </row>
    <row r="622" spans="1:5" ht="15.75" customHeight="1" x14ac:dyDescent="0.25">
      <c r="A622" s="56"/>
      <c r="E622" s="57"/>
    </row>
    <row r="623" spans="1:5" ht="15.75" customHeight="1" x14ac:dyDescent="0.25">
      <c r="A623" s="56"/>
      <c r="E623" s="57"/>
    </row>
    <row r="624" spans="1:5" ht="15.75" customHeight="1" x14ac:dyDescent="0.25">
      <c r="A624" s="56"/>
      <c r="E624" s="57"/>
    </row>
    <row r="625" spans="1:5" ht="15.75" customHeight="1" x14ac:dyDescent="0.25">
      <c r="A625" s="56"/>
      <c r="E625" s="57"/>
    </row>
    <row r="626" spans="1:5" ht="15.75" customHeight="1" x14ac:dyDescent="0.25">
      <c r="A626" s="56"/>
      <c r="E626" s="57"/>
    </row>
    <row r="627" spans="1:5" ht="15.75" customHeight="1" x14ac:dyDescent="0.25">
      <c r="A627" s="56"/>
      <c r="E627" s="57"/>
    </row>
    <row r="628" spans="1:5" ht="15.75" customHeight="1" x14ac:dyDescent="0.25">
      <c r="A628" s="56"/>
      <c r="E628" s="57"/>
    </row>
    <row r="629" spans="1:5" ht="15.75" customHeight="1" x14ac:dyDescent="0.25">
      <c r="A629" s="56"/>
      <c r="E629" s="57"/>
    </row>
    <row r="630" spans="1:5" ht="15.75" customHeight="1" x14ac:dyDescent="0.25">
      <c r="A630" s="56"/>
      <c r="E630" s="57"/>
    </row>
    <row r="631" spans="1:5" ht="15.75" customHeight="1" x14ac:dyDescent="0.25">
      <c r="A631" s="56"/>
      <c r="E631" s="57"/>
    </row>
    <row r="632" spans="1:5" ht="15.75" customHeight="1" x14ac:dyDescent="0.25">
      <c r="A632" s="56"/>
      <c r="E632" s="57"/>
    </row>
    <row r="633" spans="1:5" ht="15.75" customHeight="1" x14ac:dyDescent="0.25">
      <c r="A633" s="56"/>
      <c r="E633" s="57"/>
    </row>
    <row r="634" spans="1:5" ht="15.75" customHeight="1" x14ac:dyDescent="0.25">
      <c r="A634" s="56"/>
      <c r="E634" s="57"/>
    </row>
    <row r="635" spans="1:5" ht="15.75" customHeight="1" x14ac:dyDescent="0.25">
      <c r="A635" s="56"/>
      <c r="E635" s="57"/>
    </row>
    <row r="636" spans="1:5" ht="15.75" customHeight="1" x14ac:dyDescent="0.25">
      <c r="A636" s="56"/>
      <c r="E636" s="57"/>
    </row>
    <row r="637" spans="1:5" ht="15.75" customHeight="1" x14ac:dyDescent="0.25">
      <c r="A637" s="56"/>
      <c r="E637" s="57"/>
    </row>
    <row r="638" spans="1:5" ht="15.75" customHeight="1" x14ac:dyDescent="0.25">
      <c r="A638" s="56"/>
      <c r="E638" s="57"/>
    </row>
    <row r="639" spans="1:5" ht="15.75" customHeight="1" x14ac:dyDescent="0.25">
      <c r="A639" s="56"/>
      <c r="E639" s="57"/>
    </row>
    <row r="640" spans="1:5" ht="15.75" customHeight="1" x14ac:dyDescent="0.25">
      <c r="A640" s="56"/>
      <c r="E640" s="57"/>
    </row>
    <row r="641" spans="1:5" ht="15.75" customHeight="1" x14ac:dyDescent="0.25">
      <c r="A641" s="56"/>
      <c r="E641" s="57"/>
    </row>
    <row r="642" spans="1:5" ht="15.75" customHeight="1" x14ac:dyDescent="0.25">
      <c r="A642" s="56"/>
      <c r="E642" s="57"/>
    </row>
    <row r="643" spans="1:5" ht="15.75" customHeight="1" x14ac:dyDescent="0.25">
      <c r="A643" s="56"/>
      <c r="E643" s="57"/>
    </row>
    <row r="644" spans="1:5" ht="15.75" customHeight="1" x14ac:dyDescent="0.25">
      <c r="A644" s="56"/>
      <c r="E644" s="57"/>
    </row>
    <row r="645" spans="1:5" ht="15.75" customHeight="1" x14ac:dyDescent="0.25">
      <c r="A645" s="56"/>
      <c r="E645" s="57"/>
    </row>
    <row r="646" spans="1:5" ht="15.75" customHeight="1" x14ac:dyDescent="0.25">
      <c r="A646" s="56"/>
      <c r="E646" s="57"/>
    </row>
    <row r="647" spans="1:5" ht="15.75" customHeight="1" x14ac:dyDescent="0.25">
      <c r="A647" s="56"/>
      <c r="E647" s="57"/>
    </row>
    <row r="648" spans="1:5" ht="15.75" customHeight="1" x14ac:dyDescent="0.25">
      <c r="A648" s="56"/>
      <c r="E648" s="57"/>
    </row>
    <row r="649" spans="1:5" ht="15.75" customHeight="1" x14ac:dyDescent="0.25">
      <c r="A649" s="56"/>
      <c r="E649" s="57"/>
    </row>
    <row r="650" spans="1:5" ht="15.75" customHeight="1" x14ac:dyDescent="0.25">
      <c r="A650" s="56"/>
      <c r="E650" s="57"/>
    </row>
    <row r="651" spans="1:5" ht="15.75" customHeight="1" x14ac:dyDescent="0.25">
      <c r="A651" s="56"/>
      <c r="E651" s="57"/>
    </row>
    <row r="652" spans="1:5" ht="15.75" customHeight="1" x14ac:dyDescent="0.25">
      <c r="A652" s="56"/>
      <c r="E652" s="57"/>
    </row>
    <row r="653" spans="1:5" ht="15.75" customHeight="1" x14ac:dyDescent="0.25">
      <c r="A653" s="56"/>
      <c r="E653" s="57"/>
    </row>
    <row r="654" spans="1:5" ht="15.75" customHeight="1" x14ac:dyDescent="0.25">
      <c r="A654" s="56"/>
      <c r="E654" s="57"/>
    </row>
    <row r="655" spans="1:5" ht="15.75" customHeight="1" x14ac:dyDescent="0.25">
      <c r="A655" s="56"/>
      <c r="E655" s="57"/>
    </row>
    <row r="656" spans="1:5" ht="15.75" customHeight="1" x14ac:dyDescent="0.25">
      <c r="A656" s="56"/>
      <c r="E656" s="57"/>
    </row>
    <row r="657" spans="1:5" ht="15.75" customHeight="1" x14ac:dyDescent="0.25">
      <c r="A657" s="56"/>
      <c r="E657" s="57"/>
    </row>
    <row r="658" spans="1:5" ht="15.75" customHeight="1" x14ac:dyDescent="0.25">
      <c r="A658" s="56"/>
      <c r="E658" s="57"/>
    </row>
    <row r="659" spans="1:5" ht="15.75" customHeight="1" x14ac:dyDescent="0.25">
      <c r="A659" s="56"/>
      <c r="E659" s="57"/>
    </row>
    <row r="660" spans="1:5" ht="15.75" customHeight="1" x14ac:dyDescent="0.25">
      <c r="A660" s="56"/>
      <c r="E660" s="57"/>
    </row>
    <row r="661" spans="1:5" ht="15.75" customHeight="1" x14ac:dyDescent="0.25">
      <c r="A661" s="56"/>
      <c r="E661" s="57"/>
    </row>
    <row r="662" spans="1:5" ht="15.75" customHeight="1" x14ac:dyDescent="0.25">
      <c r="A662" s="56"/>
      <c r="E662" s="57"/>
    </row>
    <row r="663" spans="1:5" ht="15.75" customHeight="1" x14ac:dyDescent="0.25">
      <c r="A663" s="56"/>
      <c r="E663" s="57"/>
    </row>
    <row r="664" spans="1:5" ht="15.75" customHeight="1" x14ac:dyDescent="0.25">
      <c r="A664" s="56"/>
      <c r="E664" s="57"/>
    </row>
    <row r="665" spans="1:5" ht="15.75" customHeight="1" x14ac:dyDescent="0.25">
      <c r="A665" s="56"/>
      <c r="E665" s="57"/>
    </row>
    <row r="666" spans="1:5" ht="15.75" customHeight="1" x14ac:dyDescent="0.25">
      <c r="A666" s="56"/>
      <c r="E666" s="57"/>
    </row>
    <row r="667" spans="1:5" ht="15.75" customHeight="1" x14ac:dyDescent="0.25">
      <c r="A667" s="56"/>
      <c r="E667" s="57"/>
    </row>
    <row r="668" spans="1:5" ht="15.75" customHeight="1" x14ac:dyDescent="0.25">
      <c r="A668" s="56"/>
      <c r="E668" s="57"/>
    </row>
    <row r="669" spans="1:5" ht="15.75" customHeight="1" x14ac:dyDescent="0.25">
      <c r="A669" s="56"/>
      <c r="E669" s="57"/>
    </row>
    <row r="670" spans="1:5" ht="15.75" customHeight="1" x14ac:dyDescent="0.25">
      <c r="A670" s="56"/>
      <c r="E670" s="57"/>
    </row>
    <row r="671" spans="1:5" ht="15.75" customHeight="1" x14ac:dyDescent="0.25">
      <c r="A671" s="56"/>
      <c r="E671" s="57"/>
    </row>
    <row r="672" spans="1:5" ht="15.75" customHeight="1" x14ac:dyDescent="0.25">
      <c r="A672" s="56"/>
      <c r="E672" s="57"/>
    </row>
    <row r="673" spans="1:5" ht="15.75" customHeight="1" x14ac:dyDescent="0.25">
      <c r="A673" s="56"/>
      <c r="E673" s="57"/>
    </row>
    <row r="674" spans="1:5" ht="15.75" customHeight="1" x14ac:dyDescent="0.25">
      <c r="A674" s="56"/>
      <c r="E674" s="57"/>
    </row>
    <row r="675" spans="1:5" ht="15.75" customHeight="1" x14ac:dyDescent="0.25">
      <c r="A675" s="56"/>
      <c r="E675" s="57"/>
    </row>
    <row r="676" spans="1:5" ht="15.75" customHeight="1" x14ac:dyDescent="0.25">
      <c r="A676" s="56"/>
      <c r="E676" s="57"/>
    </row>
    <row r="677" spans="1:5" ht="15.75" customHeight="1" x14ac:dyDescent="0.25">
      <c r="A677" s="56"/>
      <c r="E677" s="57"/>
    </row>
    <row r="678" spans="1:5" ht="15.75" customHeight="1" x14ac:dyDescent="0.25">
      <c r="A678" s="56"/>
      <c r="E678" s="57"/>
    </row>
    <row r="679" spans="1:5" ht="15.75" customHeight="1" x14ac:dyDescent="0.25">
      <c r="A679" s="56"/>
      <c r="E679" s="57"/>
    </row>
    <row r="680" spans="1:5" ht="15.75" customHeight="1" x14ac:dyDescent="0.25">
      <c r="A680" s="56"/>
      <c r="E680" s="57"/>
    </row>
    <row r="681" spans="1:5" ht="15.75" customHeight="1" x14ac:dyDescent="0.25">
      <c r="A681" s="56"/>
      <c r="E681" s="57"/>
    </row>
    <row r="682" spans="1:5" ht="15.75" customHeight="1" x14ac:dyDescent="0.25">
      <c r="A682" s="56"/>
      <c r="E682" s="57"/>
    </row>
    <row r="683" spans="1:5" ht="15.75" customHeight="1" x14ac:dyDescent="0.25">
      <c r="A683" s="56"/>
      <c r="E683" s="57"/>
    </row>
    <row r="684" spans="1:5" ht="15.75" customHeight="1" x14ac:dyDescent="0.25">
      <c r="A684" s="56"/>
      <c r="E684" s="57"/>
    </row>
    <row r="685" spans="1:5" ht="15.75" customHeight="1" x14ac:dyDescent="0.25">
      <c r="A685" s="56"/>
      <c r="E685" s="57"/>
    </row>
    <row r="686" spans="1:5" ht="15.75" customHeight="1" x14ac:dyDescent="0.25">
      <c r="A686" s="56"/>
      <c r="E686" s="57"/>
    </row>
    <row r="687" spans="1:5" ht="15.75" customHeight="1" x14ac:dyDescent="0.25">
      <c r="A687" s="56"/>
      <c r="E687" s="57"/>
    </row>
    <row r="688" spans="1:5" ht="15.75" customHeight="1" x14ac:dyDescent="0.25">
      <c r="A688" s="56"/>
      <c r="E688" s="57"/>
    </row>
    <row r="689" spans="1:5" ht="15.75" customHeight="1" x14ac:dyDescent="0.25">
      <c r="A689" s="56"/>
      <c r="E689" s="57"/>
    </row>
    <row r="690" spans="1:5" ht="15.75" customHeight="1" x14ac:dyDescent="0.25">
      <c r="A690" s="56"/>
      <c r="E690" s="57"/>
    </row>
    <row r="691" spans="1:5" ht="15.75" customHeight="1" x14ac:dyDescent="0.25">
      <c r="A691" s="56"/>
      <c r="E691" s="57"/>
    </row>
    <row r="692" spans="1:5" ht="15.75" customHeight="1" x14ac:dyDescent="0.25">
      <c r="A692" s="56"/>
      <c r="E692" s="57"/>
    </row>
    <row r="693" spans="1:5" ht="15.75" customHeight="1" x14ac:dyDescent="0.25">
      <c r="A693" s="56"/>
      <c r="E693" s="57"/>
    </row>
    <row r="694" spans="1:5" ht="15.75" customHeight="1" x14ac:dyDescent="0.25">
      <c r="A694" s="56"/>
      <c r="E694" s="57"/>
    </row>
    <row r="695" spans="1:5" ht="15.75" customHeight="1" x14ac:dyDescent="0.25">
      <c r="A695" s="56"/>
      <c r="E695" s="57"/>
    </row>
    <row r="696" spans="1:5" ht="15.75" customHeight="1" x14ac:dyDescent="0.25">
      <c r="A696" s="56"/>
      <c r="E696" s="57"/>
    </row>
    <row r="697" spans="1:5" ht="15.75" customHeight="1" x14ac:dyDescent="0.25">
      <c r="A697" s="56"/>
      <c r="E697" s="57"/>
    </row>
    <row r="698" spans="1:5" ht="15.75" customHeight="1" x14ac:dyDescent="0.25">
      <c r="A698" s="56"/>
      <c r="E698" s="57"/>
    </row>
    <row r="699" spans="1:5" ht="15.75" customHeight="1" x14ac:dyDescent="0.25">
      <c r="A699" s="56"/>
      <c r="E699" s="57"/>
    </row>
    <row r="700" spans="1:5" ht="15.75" customHeight="1" x14ac:dyDescent="0.25">
      <c r="A700" s="56"/>
      <c r="E700" s="57"/>
    </row>
    <row r="701" spans="1:5" ht="15.75" customHeight="1" x14ac:dyDescent="0.25">
      <c r="A701" s="56"/>
      <c r="E701" s="57"/>
    </row>
    <row r="702" spans="1:5" ht="15.75" customHeight="1" x14ac:dyDescent="0.25">
      <c r="A702" s="56"/>
      <c r="E702" s="57"/>
    </row>
    <row r="703" spans="1:5" ht="15.75" customHeight="1" x14ac:dyDescent="0.25">
      <c r="A703" s="56"/>
      <c r="E703" s="57"/>
    </row>
    <row r="704" spans="1:5" ht="15.75" customHeight="1" x14ac:dyDescent="0.25">
      <c r="A704" s="56"/>
      <c r="E704" s="57"/>
    </row>
    <row r="705" spans="1:5" ht="15.75" customHeight="1" x14ac:dyDescent="0.25">
      <c r="A705" s="56"/>
      <c r="E705" s="57"/>
    </row>
    <row r="706" spans="1:5" ht="15.75" customHeight="1" x14ac:dyDescent="0.25">
      <c r="A706" s="56"/>
      <c r="E706" s="57"/>
    </row>
    <row r="707" spans="1:5" ht="15.75" customHeight="1" x14ac:dyDescent="0.25">
      <c r="A707" s="56"/>
      <c r="E707" s="57"/>
    </row>
    <row r="708" spans="1:5" ht="15.75" customHeight="1" x14ac:dyDescent="0.25">
      <c r="A708" s="56"/>
      <c r="E708" s="57"/>
    </row>
    <row r="709" spans="1:5" ht="15.75" customHeight="1" x14ac:dyDescent="0.25">
      <c r="A709" s="56"/>
      <c r="E709" s="57"/>
    </row>
    <row r="710" spans="1:5" ht="15.75" customHeight="1" x14ac:dyDescent="0.25">
      <c r="A710" s="56"/>
      <c r="E710" s="57"/>
    </row>
    <row r="711" spans="1:5" ht="15.75" customHeight="1" x14ac:dyDescent="0.25">
      <c r="A711" s="56"/>
      <c r="E711" s="57"/>
    </row>
    <row r="712" spans="1:5" ht="15.75" customHeight="1" x14ac:dyDescent="0.25">
      <c r="A712" s="56"/>
      <c r="E712" s="57"/>
    </row>
    <row r="713" spans="1:5" ht="15.75" customHeight="1" x14ac:dyDescent="0.25">
      <c r="A713" s="56"/>
      <c r="E713" s="57"/>
    </row>
    <row r="714" spans="1:5" ht="15.75" customHeight="1" x14ac:dyDescent="0.25">
      <c r="A714" s="56"/>
      <c r="E714" s="57"/>
    </row>
    <row r="715" spans="1:5" ht="15.75" customHeight="1" x14ac:dyDescent="0.25">
      <c r="A715" s="56"/>
      <c r="E715" s="57"/>
    </row>
    <row r="716" spans="1:5" ht="15.75" customHeight="1" x14ac:dyDescent="0.25">
      <c r="A716" s="56"/>
      <c r="E716" s="57"/>
    </row>
    <row r="717" spans="1:5" ht="15.75" customHeight="1" x14ac:dyDescent="0.25">
      <c r="A717" s="56"/>
      <c r="E717" s="57"/>
    </row>
    <row r="718" spans="1:5" ht="15.75" customHeight="1" x14ac:dyDescent="0.25">
      <c r="A718" s="56"/>
      <c r="E718" s="57"/>
    </row>
    <row r="719" spans="1:5" ht="15.75" customHeight="1" x14ac:dyDescent="0.25">
      <c r="A719" s="56"/>
      <c r="E719" s="57"/>
    </row>
    <row r="720" spans="1:5" ht="15.75" customHeight="1" x14ac:dyDescent="0.25">
      <c r="A720" s="56"/>
      <c r="E720" s="57"/>
    </row>
    <row r="721" spans="1:5" ht="15.75" customHeight="1" x14ac:dyDescent="0.25">
      <c r="A721" s="56"/>
      <c r="E721" s="57"/>
    </row>
    <row r="722" spans="1:5" ht="15.75" customHeight="1" x14ac:dyDescent="0.25">
      <c r="A722" s="56"/>
      <c r="E722" s="57"/>
    </row>
    <row r="723" spans="1:5" ht="15.75" customHeight="1" x14ac:dyDescent="0.25">
      <c r="A723" s="56"/>
      <c r="E723" s="57"/>
    </row>
    <row r="724" spans="1:5" ht="15.75" customHeight="1" x14ac:dyDescent="0.25">
      <c r="A724" s="56"/>
      <c r="E724" s="57"/>
    </row>
    <row r="725" spans="1:5" ht="15.75" customHeight="1" x14ac:dyDescent="0.25">
      <c r="A725" s="56"/>
      <c r="E725" s="57"/>
    </row>
    <row r="726" spans="1:5" ht="15.75" customHeight="1" x14ac:dyDescent="0.25">
      <c r="A726" s="56"/>
      <c r="E726" s="57"/>
    </row>
    <row r="727" spans="1:5" ht="15.75" customHeight="1" x14ac:dyDescent="0.25">
      <c r="A727" s="56"/>
      <c r="E727" s="57"/>
    </row>
    <row r="728" spans="1:5" ht="15.75" customHeight="1" x14ac:dyDescent="0.25">
      <c r="A728" s="56"/>
      <c r="E728" s="57"/>
    </row>
    <row r="729" spans="1:5" ht="15.75" customHeight="1" x14ac:dyDescent="0.25">
      <c r="A729" s="56"/>
      <c r="E729" s="57"/>
    </row>
    <row r="730" spans="1:5" ht="15.75" customHeight="1" x14ac:dyDescent="0.25">
      <c r="A730" s="56"/>
      <c r="E730" s="57"/>
    </row>
    <row r="731" spans="1:5" ht="15.75" customHeight="1" x14ac:dyDescent="0.25">
      <c r="A731" s="56"/>
      <c r="E731" s="57"/>
    </row>
    <row r="732" spans="1:5" ht="15.75" customHeight="1" x14ac:dyDescent="0.25">
      <c r="A732" s="56"/>
      <c r="E732" s="57"/>
    </row>
    <row r="733" spans="1:5" ht="15.75" customHeight="1" x14ac:dyDescent="0.25">
      <c r="A733" s="56"/>
      <c r="E733" s="57"/>
    </row>
    <row r="734" spans="1:5" ht="15.75" customHeight="1" x14ac:dyDescent="0.25">
      <c r="A734" s="56"/>
      <c r="E734" s="57"/>
    </row>
    <row r="735" spans="1:5" ht="15.75" customHeight="1" x14ac:dyDescent="0.25">
      <c r="A735" s="56"/>
      <c r="E735" s="57"/>
    </row>
    <row r="736" spans="1:5" ht="15.75" customHeight="1" x14ac:dyDescent="0.25">
      <c r="A736" s="56"/>
      <c r="E736" s="57"/>
    </row>
    <row r="737" spans="1:5" ht="15.75" customHeight="1" x14ac:dyDescent="0.25">
      <c r="A737" s="56"/>
      <c r="E737" s="57"/>
    </row>
    <row r="738" spans="1:5" ht="15.75" customHeight="1" x14ac:dyDescent="0.25">
      <c r="A738" s="56"/>
      <c r="E738" s="57"/>
    </row>
    <row r="739" spans="1:5" ht="15.75" customHeight="1" x14ac:dyDescent="0.25">
      <c r="A739" s="56"/>
      <c r="E739" s="57"/>
    </row>
    <row r="740" spans="1:5" ht="15.75" customHeight="1" x14ac:dyDescent="0.25">
      <c r="A740" s="56"/>
      <c r="E740" s="57"/>
    </row>
    <row r="741" spans="1:5" ht="15.75" customHeight="1" x14ac:dyDescent="0.25">
      <c r="A741" s="56"/>
      <c r="E741" s="57"/>
    </row>
    <row r="742" spans="1:5" ht="15.75" customHeight="1" x14ac:dyDescent="0.25">
      <c r="A742" s="56"/>
      <c r="E742" s="57"/>
    </row>
    <row r="743" spans="1:5" ht="15.75" customHeight="1" x14ac:dyDescent="0.25">
      <c r="A743" s="56"/>
      <c r="E743" s="57"/>
    </row>
    <row r="744" spans="1:5" ht="15.75" customHeight="1" x14ac:dyDescent="0.25">
      <c r="A744" s="56"/>
      <c r="E744" s="57"/>
    </row>
    <row r="745" spans="1:5" ht="15.75" customHeight="1" x14ac:dyDescent="0.25">
      <c r="A745" s="56"/>
      <c r="E745" s="57"/>
    </row>
    <row r="746" spans="1:5" ht="15.75" customHeight="1" x14ac:dyDescent="0.25">
      <c r="A746" s="56"/>
      <c r="E746" s="57"/>
    </row>
    <row r="747" spans="1:5" ht="15.75" customHeight="1" x14ac:dyDescent="0.25">
      <c r="A747" s="56"/>
      <c r="E747" s="57"/>
    </row>
    <row r="748" spans="1:5" ht="15.75" customHeight="1" x14ac:dyDescent="0.25">
      <c r="A748" s="56"/>
      <c r="E748" s="57"/>
    </row>
    <row r="749" spans="1:5" ht="15.75" customHeight="1" x14ac:dyDescent="0.25">
      <c r="A749" s="56"/>
      <c r="E749" s="57"/>
    </row>
    <row r="750" spans="1:5" ht="15.75" customHeight="1" x14ac:dyDescent="0.25">
      <c r="A750" s="56"/>
      <c r="E750" s="57"/>
    </row>
    <row r="751" spans="1:5" ht="15.75" customHeight="1" x14ac:dyDescent="0.25">
      <c r="A751" s="56"/>
      <c r="E751" s="57"/>
    </row>
    <row r="752" spans="1:5" ht="15.75" customHeight="1" x14ac:dyDescent="0.25">
      <c r="A752" s="56"/>
      <c r="E752" s="57"/>
    </row>
    <row r="753" spans="1:5" ht="15.75" customHeight="1" x14ac:dyDescent="0.25">
      <c r="A753" s="56"/>
      <c r="E753" s="57"/>
    </row>
    <row r="754" spans="1:5" ht="15.75" customHeight="1" x14ac:dyDescent="0.25">
      <c r="A754" s="56"/>
      <c r="E754" s="57"/>
    </row>
    <row r="755" spans="1:5" ht="15.75" customHeight="1" x14ac:dyDescent="0.25">
      <c r="A755" s="56"/>
      <c r="E755" s="57"/>
    </row>
    <row r="756" spans="1:5" ht="15.75" customHeight="1" x14ac:dyDescent="0.25">
      <c r="A756" s="56"/>
      <c r="E756" s="57"/>
    </row>
    <row r="757" spans="1:5" ht="15.75" customHeight="1" x14ac:dyDescent="0.25">
      <c r="A757" s="56"/>
      <c r="E757" s="57"/>
    </row>
    <row r="758" spans="1:5" ht="15.75" customHeight="1" x14ac:dyDescent="0.25">
      <c r="A758" s="56"/>
      <c r="E758" s="57"/>
    </row>
    <row r="759" spans="1:5" ht="15.75" customHeight="1" x14ac:dyDescent="0.25">
      <c r="A759" s="56"/>
      <c r="E759" s="57"/>
    </row>
    <row r="760" spans="1:5" ht="15.75" customHeight="1" x14ac:dyDescent="0.25">
      <c r="A760" s="56"/>
      <c r="E760" s="57"/>
    </row>
    <row r="761" spans="1:5" ht="15.75" customHeight="1" x14ac:dyDescent="0.25">
      <c r="A761" s="56"/>
      <c r="E761" s="57"/>
    </row>
    <row r="762" spans="1:5" ht="15.75" customHeight="1" x14ac:dyDescent="0.25">
      <c r="A762" s="56"/>
      <c r="E762" s="57"/>
    </row>
    <row r="763" spans="1:5" ht="15.75" customHeight="1" x14ac:dyDescent="0.25">
      <c r="A763" s="56"/>
      <c r="E763" s="57"/>
    </row>
    <row r="764" spans="1:5" ht="15.75" customHeight="1" x14ac:dyDescent="0.25">
      <c r="A764" s="56"/>
      <c r="E764" s="57"/>
    </row>
    <row r="765" spans="1:5" ht="15.75" customHeight="1" x14ac:dyDescent="0.25">
      <c r="A765" s="56"/>
      <c r="E765" s="57"/>
    </row>
    <row r="766" spans="1:5" ht="15.75" customHeight="1" x14ac:dyDescent="0.25">
      <c r="A766" s="56"/>
      <c r="E766" s="57"/>
    </row>
    <row r="767" spans="1:5" ht="15.75" customHeight="1" x14ac:dyDescent="0.25">
      <c r="A767" s="56"/>
      <c r="E767" s="57"/>
    </row>
    <row r="768" spans="1:5" ht="15.75" customHeight="1" x14ac:dyDescent="0.25">
      <c r="A768" s="56"/>
      <c r="E768" s="57"/>
    </row>
    <row r="769" spans="1:5" ht="15.75" customHeight="1" x14ac:dyDescent="0.25">
      <c r="A769" s="56"/>
      <c r="E769" s="57"/>
    </row>
    <row r="770" spans="1:5" ht="15.75" customHeight="1" x14ac:dyDescent="0.25">
      <c r="A770" s="56"/>
      <c r="E770" s="57"/>
    </row>
    <row r="771" spans="1:5" ht="15.75" customHeight="1" x14ac:dyDescent="0.25">
      <c r="A771" s="56"/>
      <c r="E771" s="57"/>
    </row>
    <row r="772" spans="1:5" ht="15.75" customHeight="1" x14ac:dyDescent="0.25">
      <c r="A772" s="56"/>
      <c r="E772" s="57"/>
    </row>
    <row r="773" spans="1:5" ht="15.75" customHeight="1" x14ac:dyDescent="0.25">
      <c r="A773" s="56"/>
      <c r="E773" s="57"/>
    </row>
    <row r="774" spans="1:5" ht="15.75" customHeight="1" x14ac:dyDescent="0.25">
      <c r="A774" s="56"/>
      <c r="E774" s="57"/>
    </row>
    <row r="775" spans="1:5" ht="15.75" customHeight="1" x14ac:dyDescent="0.25">
      <c r="A775" s="56"/>
      <c r="E775" s="57"/>
    </row>
    <row r="776" spans="1:5" ht="15.75" customHeight="1" x14ac:dyDescent="0.25">
      <c r="A776" s="56"/>
      <c r="E776" s="57"/>
    </row>
    <row r="777" spans="1:5" ht="15.75" customHeight="1" x14ac:dyDescent="0.25">
      <c r="A777" s="56"/>
      <c r="E777" s="57"/>
    </row>
    <row r="778" spans="1:5" ht="15.75" customHeight="1" x14ac:dyDescent="0.25">
      <c r="A778" s="56"/>
      <c r="E778" s="57"/>
    </row>
    <row r="779" spans="1:5" ht="15.75" customHeight="1" x14ac:dyDescent="0.25">
      <c r="A779" s="56"/>
      <c r="E779" s="57"/>
    </row>
    <row r="780" spans="1:5" ht="15.75" customHeight="1" x14ac:dyDescent="0.25">
      <c r="A780" s="56"/>
      <c r="E780" s="57"/>
    </row>
    <row r="781" spans="1:5" ht="15.75" customHeight="1" x14ac:dyDescent="0.25">
      <c r="A781" s="56"/>
      <c r="E781" s="57"/>
    </row>
    <row r="782" spans="1:5" ht="15.75" customHeight="1" x14ac:dyDescent="0.25">
      <c r="A782" s="56"/>
      <c r="E782" s="57"/>
    </row>
    <row r="783" spans="1:5" ht="15.75" customHeight="1" x14ac:dyDescent="0.25">
      <c r="A783" s="56"/>
      <c r="E783" s="57"/>
    </row>
    <row r="784" spans="1:5" ht="15.75" customHeight="1" x14ac:dyDescent="0.25">
      <c r="A784" s="56"/>
      <c r="E784" s="57"/>
    </row>
    <row r="785" spans="1:5" ht="15.75" customHeight="1" x14ac:dyDescent="0.25">
      <c r="A785" s="56"/>
      <c r="E785" s="57"/>
    </row>
    <row r="786" spans="1:5" ht="15.75" customHeight="1" x14ac:dyDescent="0.25">
      <c r="A786" s="56"/>
      <c r="E786" s="57"/>
    </row>
    <row r="787" spans="1:5" ht="15.75" customHeight="1" x14ac:dyDescent="0.25">
      <c r="A787" s="56"/>
      <c r="E787" s="57"/>
    </row>
    <row r="788" spans="1:5" ht="15.75" customHeight="1" x14ac:dyDescent="0.25">
      <c r="A788" s="56"/>
      <c r="E788" s="57"/>
    </row>
    <row r="789" spans="1:5" ht="15.75" customHeight="1" x14ac:dyDescent="0.25">
      <c r="A789" s="56"/>
      <c r="E789" s="57"/>
    </row>
    <row r="790" spans="1:5" ht="15.75" customHeight="1" x14ac:dyDescent="0.25">
      <c r="A790" s="56"/>
      <c r="E790" s="57"/>
    </row>
    <row r="791" spans="1:5" ht="15.75" customHeight="1" x14ac:dyDescent="0.25">
      <c r="A791" s="56"/>
      <c r="E791" s="57"/>
    </row>
    <row r="792" spans="1:5" ht="15.75" customHeight="1" x14ac:dyDescent="0.25">
      <c r="A792" s="56"/>
      <c r="E792" s="57"/>
    </row>
    <row r="793" spans="1:5" ht="15.75" customHeight="1" x14ac:dyDescent="0.25">
      <c r="A793" s="56"/>
      <c r="E793" s="57"/>
    </row>
    <row r="794" spans="1:5" ht="15.75" customHeight="1" x14ac:dyDescent="0.25">
      <c r="A794" s="56"/>
      <c r="E794" s="57"/>
    </row>
    <row r="795" spans="1:5" ht="15.75" customHeight="1" x14ac:dyDescent="0.25">
      <c r="A795" s="56"/>
      <c r="E795" s="57"/>
    </row>
    <row r="796" spans="1:5" ht="15.75" customHeight="1" x14ac:dyDescent="0.25">
      <c r="A796" s="56"/>
      <c r="E796" s="57"/>
    </row>
    <row r="797" spans="1:5" ht="15.75" customHeight="1" x14ac:dyDescent="0.25">
      <c r="A797" s="56"/>
      <c r="E797" s="57"/>
    </row>
    <row r="798" spans="1:5" ht="15.75" customHeight="1" x14ac:dyDescent="0.25">
      <c r="A798" s="56"/>
      <c r="E798" s="57"/>
    </row>
    <row r="799" spans="1:5" ht="15.75" customHeight="1" x14ac:dyDescent="0.25">
      <c r="A799" s="56"/>
      <c r="E799" s="57"/>
    </row>
    <row r="800" spans="1:5" ht="15.75" customHeight="1" x14ac:dyDescent="0.25">
      <c r="A800" s="56"/>
      <c r="E800" s="57"/>
    </row>
    <row r="801" spans="1:5" ht="15.75" customHeight="1" x14ac:dyDescent="0.25">
      <c r="A801" s="56"/>
      <c r="E801" s="57"/>
    </row>
    <row r="802" spans="1:5" ht="15.75" customHeight="1" x14ac:dyDescent="0.25">
      <c r="A802" s="56"/>
      <c r="E802" s="57"/>
    </row>
    <row r="803" spans="1:5" ht="15.75" customHeight="1" x14ac:dyDescent="0.25">
      <c r="A803" s="56"/>
      <c r="E803" s="57"/>
    </row>
    <row r="804" spans="1:5" ht="15.75" customHeight="1" x14ac:dyDescent="0.25">
      <c r="A804" s="56"/>
      <c r="E804" s="57"/>
    </row>
    <row r="805" spans="1:5" ht="15.75" customHeight="1" x14ac:dyDescent="0.25">
      <c r="A805" s="56"/>
      <c r="E805" s="57"/>
    </row>
    <row r="806" spans="1:5" ht="15.75" customHeight="1" x14ac:dyDescent="0.25">
      <c r="A806" s="56"/>
      <c r="E806" s="57"/>
    </row>
    <row r="807" spans="1:5" ht="15.75" customHeight="1" x14ac:dyDescent="0.25">
      <c r="A807" s="56"/>
      <c r="E807" s="57"/>
    </row>
    <row r="808" spans="1:5" ht="15.75" customHeight="1" x14ac:dyDescent="0.25">
      <c r="A808" s="56"/>
      <c r="E808" s="57"/>
    </row>
    <row r="809" spans="1:5" ht="15.75" customHeight="1" x14ac:dyDescent="0.25">
      <c r="A809" s="56"/>
      <c r="E809" s="57"/>
    </row>
    <row r="810" spans="1:5" ht="15.75" customHeight="1" x14ac:dyDescent="0.25">
      <c r="A810" s="56"/>
      <c r="E810" s="57"/>
    </row>
    <row r="811" spans="1:5" ht="15.75" customHeight="1" x14ac:dyDescent="0.25">
      <c r="A811" s="56"/>
      <c r="E811" s="57"/>
    </row>
    <row r="812" spans="1:5" ht="15.75" customHeight="1" x14ac:dyDescent="0.25">
      <c r="A812" s="56"/>
      <c r="E812" s="57"/>
    </row>
    <row r="813" spans="1:5" ht="15.75" customHeight="1" x14ac:dyDescent="0.25">
      <c r="A813" s="56"/>
      <c r="E813" s="57"/>
    </row>
    <row r="814" spans="1:5" ht="15.75" customHeight="1" x14ac:dyDescent="0.25">
      <c r="A814" s="56"/>
      <c r="E814" s="57"/>
    </row>
    <row r="815" spans="1:5" ht="15.75" customHeight="1" x14ac:dyDescent="0.25">
      <c r="A815" s="56"/>
      <c r="E815" s="57"/>
    </row>
    <row r="816" spans="1:5" ht="15.75" customHeight="1" x14ac:dyDescent="0.25">
      <c r="A816" s="56"/>
      <c r="E816" s="57"/>
    </row>
    <row r="817" spans="1:5" ht="15.75" customHeight="1" x14ac:dyDescent="0.25">
      <c r="A817" s="56"/>
      <c r="E817" s="57"/>
    </row>
    <row r="818" spans="1:5" ht="15.75" customHeight="1" x14ac:dyDescent="0.25">
      <c r="A818" s="56"/>
      <c r="E818" s="57"/>
    </row>
    <row r="819" spans="1:5" ht="15.75" customHeight="1" x14ac:dyDescent="0.25">
      <c r="A819" s="56"/>
      <c r="E819" s="57"/>
    </row>
    <row r="820" spans="1:5" ht="15.75" customHeight="1" x14ac:dyDescent="0.25">
      <c r="A820" s="56"/>
      <c r="E820" s="57"/>
    </row>
    <row r="821" spans="1:5" ht="15.75" customHeight="1" x14ac:dyDescent="0.25">
      <c r="A821" s="56"/>
      <c r="E821" s="57"/>
    </row>
    <row r="822" spans="1:5" ht="15.75" customHeight="1" x14ac:dyDescent="0.25">
      <c r="A822" s="56"/>
      <c r="E822" s="57"/>
    </row>
    <row r="823" spans="1:5" ht="15.75" customHeight="1" x14ac:dyDescent="0.25">
      <c r="A823" s="56"/>
      <c r="E823" s="57"/>
    </row>
    <row r="824" spans="1:5" ht="15.75" customHeight="1" x14ac:dyDescent="0.25">
      <c r="A824" s="56"/>
      <c r="E824" s="57"/>
    </row>
    <row r="825" spans="1:5" ht="15.75" customHeight="1" x14ac:dyDescent="0.25">
      <c r="A825" s="56"/>
      <c r="E825" s="57"/>
    </row>
    <row r="826" spans="1:5" ht="15.75" customHeight="1" x14ac:dyDescent="0.25">
      <c r="A826" s="56"/>
      <c r="E826" s="57"/>
    </row>
    <row r="827" spans="1:5" ht="15.75" customHeight="1" x14ac:dyDescent="0.25">
      <c r="A827" s="56"/>
      <c r="E827" s="57"/>
    </row>
    <row r="828" spans="1:5" ht="15.75" customHeight="1" x14ac:dyDescent="0.25">
      <c r="A828" s="56"/>
      <c r="E828" s="57"/>
    </row>
    <row r="829" spans="1:5" ht="15.75" customHeight="1" x14ac:dyDescent="0.25">
      <c r="A829" s="56"/>
      <c r="E829" s="57"/>
    </row>
    <row r="830" spans="1:5" ht="15.75" customHeight="1" x14ac:dyDescent="0.25">
      <c r="A830" s="56"/>
      <c r="E830" s="57"/>
    </row>
    <row r="831" spans="1:5" ht="15.75" customHeight="1" x14ac:dyDescent="0.25">
      <c r="A831" s="56"/>
      <c r="E831" s="57"/>
    </row>
    <row r="832" spans="1:5" ht="15.75" customHeight="1" x14ac:dyDescent="0.25">
      <c r="A832" s="56"/>
      <c r="E832" s="57"/>
    </row>
    <row r="833" spans="1:5" ht="15.75" customHeight="1" x14ac:dyDescent="0.25">
      <c r="A833" s="56"/>
      <c r="E833" s="57"/>
    </row>
    <row r="834" spans="1:5" ht="15.75" customHeight="1" x14ac:dyDescent="0.25">
      <c r="A834" s="56"/>
      <c r="E834" s="57"/>
    </row>
    <row r="835" spans="1:5" ht="15.75" customHeight="1" x14ac:dyDescent="0.25">
      <c r="A835" s="56"/>
      <c r="E835" s="57"/>
    </row>
    <row r="836" spans="1:5" ht="15.75" customHeight="1" x14ac:dyDescent="0.25">
      <c r="A836" s="56"/>
      <c r="E836" s="57"/>
    </row>
    <row r="837" spans="1:5" ht="15.75" customHeight="1" x14ac:dyDescent="0.25">
      <c r="A837" s="56"/>
      <c r="E837" s="57"/>
    </row>
    <row r="838" spans="1:5" ht="15.75" customHeight="1" x14ac:dyDescent="0.25">
      <c r="A838" s="56"/>
      <c r="E838" s="57"/>
    </row>
    <row r="839" spans="1:5" ht="15.75" customHeight="1" x14ac:dyDescent="0.25">
      <c r="A839" s="56"/>
      <c r="E839" s="57"/>
    </row>
    <row r="840" spans="1:5" ht="15.75" customHeight="1" x14ac:dyDescent="0.25">
      <c r="A840" s="56"/>
      <c r="E840" s="57"/>
    </row>
    <row r="841" spans="1:5" ht="15.75" customHeight="1" x14ac:dyDescent="0.25">
      <c r="A841" s="56"/>
      <c r="E841" s="57"/>
    </row>
    <row r="842" spans="1:5" ht="15.75" customHeight="1" x14ac:dyDescent="0.25">
      <c r="A842" s="56"/>
      <c r="E842" s="57"/>
    </row>
    <row r="843" spans="1:5" ht="15.75" customHeight="1" x14ac:dyDescent="0.25">
      <c r="A843" s="56"/>
      <c r="E843" s="57"/>
    </row>
    <row r="844" spans="1:5" ht="15.75" customHeight="1" x14ac:dyDescent="0.25">
      <c r="A844" s="56"/>
      <c r="E844" s="57"/>
    </row>
    <row r="845" spans="1:5" ht="15.75" customHeight="1" x14ac:dyDescent="0.25">
      <c r="A845" s="56"/>
      <c r="E845" s="57"/>
    </row>
    <row r="846" spans="1:5" ht="15.75" customHeight="1" x14ac:dyDescent="0.25">
      <c r="A846" s="56"/>
      <c r="E846" s="57"/>
    </row>
    <row r="847" spans="1:5" ht="15.75" customHeight="1" x14ac:dyDescent="0.25">
      <c r="A847" s="56"/>
      <c r="E847" s="57"/>
    </row>
    <row r="848" spans="1:5" ht="15.75" customHeight="1" x14ac:dyDescent="0.25">
      <c r="A848" s="56"/>
      <c r="E848" s="57"/>
    </row>
    <row r="849" spans="1:5" ht="15.75" customHeight="1" x14ac:dyDescent="0.25">
      <c r="A849" s="56"/>
      <c r="E849" s="57"/>
    </row>
    <row r="850" spans="1:5" ht="15.75" customHeight="1" x14ac:dyDescent="0.25">
      <c r="A850" s="56"/>
      <c r="E850" s="57"/>
    </row>
    <row r="851" spans="1:5" ht="15.75" customHeight="1" x14ac:dyDescent="0.25">
      <c r="A851" s="56"/>
      <c r="E851" s="57"/>
    </row>
    <row r="852" spans="1:5" ht="15.75" customHeight="1" x14ac:dyDescent="0.25">
      <c r="A852" s="56"/>
      <c r="E852" s="57"/>
    </row>
    <row r="853" spans="1:5" ht="15.75" customHeight="1" x14ac:dyDescent="0.25">
      <c r="A853" s="56"/>
      <c r="E853" s="57"/>
    </row>
    <row r="854" spans="1:5" ht="15.75" customHeight="1" x14ac:dyDescent="0.25">
      <c r="A854" s="56"/>
      <c r="E854" s="57"/>
    </row>
    <row r="855" spans="1:5" ht="15.75" customHeight="1" x14ac:dyDescent="0.25">
      <c r="A855" s="56"/>
      <c r="E855" s="57"/>
    </row>
    <row r="856" spans="1:5" ht="15.75" customHeight="1" x14ac:dyDescent="0.25">
      <c r="A856" s="56"/>
      <c r="E856" s="57"/>
    </row>
    <row r="857" spans="1:5" ht="15.75" customHeight="1" x14ac:dyDescent="0.25">
      <c r="A857" s="56"/>
      <c r="E857" s="57"/>
    </row>
    <row r="858" spans="1:5" ht="15.75" customHeight="1" x14ac:dyDescent="0.25">
      <c r="A858" s="56"/>
      <c r="E858" s="57"/>
    </row>
    <row r="859" spans="1:5" ht="15.75" customHeight="1" x14ac:dyDescent="0.25">
      <c r="A859" s="56"/>
      <c r="E859" s="57"/>
    </row>
    <row r="860" spans="1:5" ht="15.75" customHeight="1" x14ac:dyDescent="0.25">
      <c r="A860" s="56"/>
      <c r="E860" s="57"/>
    </row>
    <row r="861" spans="1:5" ht="15.75" customHeight="1" x14ac:dyDescent="0.25">
      <c r="A861" s="56"/>
      <c r="E861" s="57"/>
    </row>
    <row r="862" spans="1:5" ht="15.75" customHeight="1" x14ac:dyDescent="0.25">
      <c r="A862" s="56"/>
      <c r="E862" s="57"/>
    </row>
    <row r="863" spans="1:5" ht="15.75" customHeight="1" x14ac:dyDescent="0.25">
      <c r="A863" s="56"/>
      <c r="E863" s="57"/>
    </row>
    <row r="864" spans="1:5" ht="15.75" customHeight="1" x14ac:dyDescent="0.25">
      <c r="A864" s="56"/>
      <c r="E864" s="57"/>
    </row>
    <row r="865" spans="1:5" ht="15.75" customHeight="1" x14ac:dyDescent="0.25">
      <c r="A865" s="56"/>
      <c r="E865" s="57"/>
    </row>
    <row r="866" spans="1:5" ht="15.75" customHeight="1" x14ac:dyDescent="0.25">
      <c r="A866" s="56"/>
      <c r="E866" s="57"/>
    </row>
    <row r="867" spans="1:5" ht="15.75" customHeight="1" x14ac:dyDescent="0.25">
      <c r="A867" s="56"/>
      <c r="E867" s="57"/>
    </row>
    <row r="868" spans="1:5" ht="15.75" customHeight="1" x14ac:dyDescent="0.25">
      <c r="A868" s="56"/>
      <c r="E868" s="57"/>
    </row>
    <row r="869" spans="1:5" ht="15.75" customHeight="1" x14ac:dyDescent="0.25">
      <c r="A869" s="56"/>
      <c r="E869" s="57"/>
    </row>
    <row r="870" spans="1:5" ht="15.75" customHeight="1" x14ac:dyDescent="0.25">
      <c r="A870" s="56"/>
      <c r="E870" s="57"/>
    </row>
    <row r="871" spans="1:5" ht="15.75" customHeight="1" x14ac:dyDescent="0.25">
      <c r="A871" s="56"/>
      <c r="E871" s="57"/>
    </row>
    <row r="872" spans="1:5" ht="15.75" customHeight="1" x14ac:dyDescent="0.25">
      <c r="A872" s="56"/>
      <c r="E872" s="57"/>
    </row>
    <row r="873" spans="1:5" ht="15.75" customHeight="1" x14ac:dyDescent="0.25">
      <c r="A873" s="56"/>
      <c r="E873" s="57"/>
    </row>
    <row r="874" spans="1:5" ht="15.75" customHeight="1" x14ac:dyDescent="0.25">
      <c r="A874" s="56"/>
      <c r="E874" s="57"/>
    </row>
    <row r="875" spans="1:5" ht="15.75" customHeight="1" x14ac:dyDescent="0.25">
      <c r="A875" s="56"/>
      <c r="E875" s="57"/>
    </row>
    <row r="876" spans="1:5" ht="15.75" customHeight="1" x14ac:dyDescent="0.25">
      <c r="A876" s="56"/>
      <c r="E876" s="57"/>
    </row>
    <row r="877" spans="1:5" ht="15.75" customHeight="1" x14ac:dyDescent="0.25">
      <c r="A877" s="56"/>
      <c r="E877" s="57"/>
    </row>
    <row r="878" spans="1:5" ht="15.75" customHeight="1" x14ac:dyDescent="0.25">
      <c r="A878" s="56"/>
      <c r="E878" s="57"/>
    </row>
    <row r="879" spans="1:5" ht="15.75" customHeight="1" x14ac:dyDescent="0.25">
      <c r="A879" s="56"/>
      <c r="E879" s="57"/>
    </row>
    <row r="880" spans="1:5" ht="15.75" customHeight="1" x14ac:dyDescent="0.25">
      <c r="A880" s="56"/>
      <c r="E880" s="57"/>
    </row>
    <row r="881" spans="1:5" ht="15.75" customHeight="1" x14ac:dyDescent="0.25">
      <c r="A881" s="56"/>
      <c r="E881" s="57"/>
    </row>
    <row r="882" spans="1:5" ht="15.75" customHeight="1" x14ac:dyDescent="0.25">
      <c r="A882" s="56"/>
      <c r="E882" s="57"/>
    </row>
    <row r="883" spans="1:5" ht="15.75" customHeight="1" x14ac:dyDescent="0.25">
      <c r="A883" s="56"/>
      <c r="E883" s="57"/>
    </row>
    <row r="884" spans="1:5" ht="15.75" customHeight="1" x14ac:dyDescent="0.25">
      <c r="A884" s="56"/>
      <c r="E884" s="57"/>
    </row>
    <row r="885" spans="1:5" ht="15.75" customHeight="1" x14ac:dyDescent="0.25">
      <c r="A885" s="56"/>
      <c r="E885" s="57"/>
    </row>
    <row r="886" spans="1:5" ht="15.75" customHeight="1" x14ac:dyDescent="0.25">
      <c r="A886" s="56"/>
      <c r="E886" s="57"/>
    </row>
    <row r="887" spans="1:5" ht="15.75" customHeight="1" x14ac:dyDescent="0.25">
      <c r="A887" s="56"/>
      <c r="E887" s="57"/>
    </row>
    <row r="888" spans="1:5" ht="15.75" customHeight="1" x14ac:dyDescent="0.25">
      <c r="A888" s="56"/>
      <c r="E888" s="57"/>
    </row>
    <row r="889" spans="1:5" ht="15.75" customHeight="1" x14ac:dyDescent="0.25">
      <c r="A889" s="56"/>
      <c r="E889" s="57"/>
    </row>
    <row r="890" spans="1:5" ht="15.75" customHeight="1" x14ac:dyDescent="0.25">
      <c r="A890" s="56"/>
      <c r="E890" s="57"/>
    </row>
    <row r="891" spans="1:5" ht="15.75" customHeight="1" x14ac:dyDescent="0.25">
      <c r="A891" s="56"/>
      <c r="E891" s="57"/>
    </row>
    <row r="892" spans="1:5" ht="15.75" customHeight="1" x14ac:dyDescent="0.25">
      <c r="A892" s="56"/>
      <c r="E892" s="57"/>
    </row>
    <row r="893" spans="1:5" ht="15.75" customHeight="1" x14ac:dyDescent="0.25">
      <c r="A893" s="56"/>
      <c r="E893" s="57"/>
    </row>
    <row r="894" spans="1:5" ht="15.75" customHeight="1" x14ac:dyDescent="0.25">
      <c r="A894" s="56"/>
      <c r="E894" s="57"/>
    </row>
    <row r="895" spans="1:5" ht="15.75" customHeight="1" x14ac:dyDescent="0.25">
      <c r="A895" s="56"/>
      <c r="E895" s="57"/>
    </row>
    <row r="896" spans="1:5" ht="15.75" customHeight="1" x14ac:dyDescent="0.25">
      <c r="A896" s="56"/>
      <c r="E896" s="57"/>
    </row>
    <row r="897" spans="1:5" ht="15.75" customHeight="1" x14ac:dyDescent="0.25">
      <c r="A897" s="56"/>
      <c r="E897" s="57"/>
    </row>
    <row r="898" spans="1:5" ht="15.75" customHeight="1" x14ac:dyDescent="0.25">
      <c r="A898" s="56"/>
      <c r="E898" s="57"/>
    </row>
    <row r="899" spans="1:5" ht="15.75" customHeight="1" x14ac:dyDescent="0.25">
      <c r="A899" s="56"/>
      <c r="E899" s="57"/>
    </row>
    <row r="900" spans="1:5" ht="15.75" customHeight="1" x14ac:dyDescent="0.25">
      <c r="A900" s="56"/>
      <c r="E900" s="57"/>
    </row>
    <row r="901" spans="1:5" ht="15.75" customHeight="1" x14ac:dyDescent="0.25">
      <c r="A901" s="56"/>
      <c r="E901" s="57"/>
    </row>
    <row r="902" spans="1:5" ht="15.75" customHeight="1" x14ac:dyDescent="0.25">
      <c r="A902" s="56"/>
      <c r="E902" s="57"/>
    </row>
    <row r="903" spans="1:5" ht="15.75" customHeight="1" x14ac:dyDescent="0.25">
      <c r="A903" s="56"/>
      <c r="E903" s="57"/>
    </row>
    <row r="904" spans="1:5" ht="15.75" customHeight="1" x14ac:dyDescent="0.25">
      <c r="A904" s="56"/>
      <c r="E904" s="57"/>
    </row>
    <row r="905" spans="1:5" ht="15.75" customHeight="1" x14ac:dyDescent="0.25">
      <c r="A905" s="56"/>
      <c r="E905" s="57"/>
    </row>
    <row r="906" spans="1:5" ht="15.75" customHeight="1" x14ac:dyDescent="0.25">
      <c r="A906" s="56"/>
      <c r="E906" s="57"/>
    </row>
    <row r="907" spans="1:5" ht="15.75" customHeight="1" x14ac:dyDescent="0.25">
      <c r="A907" s="56"/>
      <c r="E907" s="57"/>
    </row>
    <row r="908" spans="1:5" ht="15.75" customHeight="1" x14ac:dyDescent="0.25">
      <c r="A908" s="56"/>
      <c r="E908" s="57"/>
    </row>
    <row r="909" spans="1:5" ht="15.75" customHeight="1" x14ac:dyDescent="0.25">
      <c r="A909" s="56"/>
      <c r="E909" s="57"/>
    </row>
    <row r="910" spans="1:5" ht="15.75" customHeight="1" x14ac:dyDescent="0.25">
      <c r="A910" s="56"/>
      <c r="E910" s="57"/>
    </row>
    <row r="911" spans="1:5" ht="15.75" customHeight="1" x14ac:dyDescent="0.25">
      <c r="A911" s="56"/>
      <c r="E911" s="57"/>
    </row>
    <row r="912" spans="1:5" ht="15.75" customHeight="1" x14ac:dyDescent="0.25">
      <c r="A912" s="56"/>
      <c r="E912" s="57"/>
    </row>
    <row r="913" spans="1:5" ht="15.75" customHeight="1" x14ac:dyDescent="0.25">
      <c r="A913" s="56"/>
      <c r="E913" s="57"/>
    </row>
    <row r="914" spans="1:5" ht="15.75" customHeight="1" x14ac:dyDescent="0.25">
      <c r="A914" s="56"/>
      <c r="E914" s="57"/>
    </row>
    <row r="915" spans="1:5" ht="15.75" customHeight="1" x14ac:dyDescent="0.25">
      <c r="A915" s="56"/>
      <c r="E915" s="57"/>
    </row>
    <row r="916" spans="1:5" ht="15.75" customHeight="1" x14ac:dyDescent="0.25">
      <c r="A916" s="56"/>
      <c r="E916" s="57"/>
    </row>
    <row r="917" spans="1:5" ht="15.75" customHeight="1" x14ac:dyDescent="0.25">
      <c r="A917" s="56"/>
      <c r="E917" s="57"/>
    </row>
    <row r="918" spans="1:5" ht="15.75" customHeight="1" x14ac:dyDescent="0.25">
      <c r="A918" s="56"/>
      <c r="E918" s="57"/>
    </row>
    <row r="919" spans="1:5" ht="15.75" customHeight="1" x14ac:dyDescent="0.25">
      <c r="A919" s="56"/>
      <c r="E919" s="57"/>
    </row>
    <row r="920" spans="1:5" ht="15.75" customHeight="1" x14ac:dyDescent="0.25">
      <c r="A920" s="56"/>
      <c r="E920" s="57"/>
    </row>
    <row r="921" spans="1:5" ht="15.75" customHeight="1" x14ac:dyDescent="0.25">
      <c r="A921" s="56"/>
      <c r="E921" s="57"/>
    </row>
    <row r="922" spans="1:5" ht="15.75" customHeight="1" x14ac:dyDescent="0.25">
      <c r="A922" s="56"/>
      <c r="E922" s="57"/>
    </row>
    <row r="923" spans="1:5" ht="15.75" customHeight="1" x14ac:dyDescent="0.25">
      <c r="A923" s="56"/>
      <c r="E923" s="57"/>
    </row>
    <row r="924" spans="1:5" ht="15.75" customHeight="1" x14ac:dyDescent="0.25">
      <c r="A924" s="56"/>
      <c r="E924" s="57"/>
    </row>
    <row r="925" spans="1:5" ht="15.75" customHeight="1" x14ac:dyDescent="0.25">
      <c r="A925" s="56"/>
      <c r="E925" s="57"/>
    </row>
    <row r="926" spans="1:5" ht="15.75" customHeight="1" x14ac:dyDescent="0.25">
      <c r="A926" s="56"/>
      <c r="E926" s="57"/>
    </row>
    <row r="927" spans="1:5" ht="15.75" customHeight="1" x14ac:dyDescent="0.25">
      <c r="A927" s="56"/>
      <c r="E927" s="57"/>
    </row>
    <row r="928" spans="1:5" ht="15.75" customHeight="1" x14ac:dyDescent="0.25">
      <c r="A928" s="56"/>
      <c r="E928" s="57"/>
    </row>
    <row r="929" spans="1:5" ht="15.75" customHeight="1" x14ac:dyDescent="0.25">
      <c r="A929" s="56"/>
      <c r="E929" s="57"/>
    </row>
    <row r="930" spans="1:5" ht="15.75" customHeight="1" x14ac:dyDescent="0.25">
      <c r="A930" s="56"/>
      <c r="E930" s="57"/>
    </row>
    <row r="931" spans="1:5" ht="15.75" customHeight="1" x14ac:dyDescent="0.25">
      <c r="A931" s="56"/>
      <c r="E931" s="57"/>
    </row>
    <row r="932" spans="1:5" ht="15.75" customHeight="1" x14ac:dyDescent="0.25">
      <c r="A932" s="56"/>
      <c r="E932" s="57"/>
    </row>
    <row r="933" spans="1:5" ht="15.75" customHeight="1" x14ac:dyDescent="0.25">
      <c r="A933" s="56"/>
      <c r="E933" s="57"/>
    </row>
    <row r="934" spans="1:5" ht="15.75" customHeight="1" x14ac:dyDescent="0.25">
      <c r="A934" s="56"/>
      <c r="E934" s="57"/>
    </row>
    <row r="935" spans="1:5" ht="15.75" customHeight="1" x14ac:dyDescent="0.25">
      <c r="A935" s="56"/>
      <c r="E935" s="57"/>
    </row>
    <row r="936" spans="1:5" ht="15.75" customHeight="1" x14ac:dyDescent="0.25">
      <c r="A936" s="56"/>
      <c r="E936" s="57"/>
    </row>
    <row r="937" spans="1:5" ht="15.75" customHeight="1" x14ac:dyDescent="0.25">
      <c r="A937" s="56"/>
      <c r="E937" s="57"/>
    </row>
    <row r="938" spans="1:5" ht="15.75" customHeight="1" x14ac:dyDescent="0.25">
      <c r="A938" s="56"/>
      <c r="E938" s="57"/>
    </row>
    <row r="939" spans="1:5" ht="15.75" customHeight="1" x14ac:dyDescent="0.25">
      <c r="A939" s="56"/>
      <c r="E939" s="57"/>
    </row>
    <row r="940" spans="1:5" ht="15.75" customHeight="1" x14ac:dyDescent="0.25">
      <c r="A940" s="56"/>
      <c r="E940" s="57"/>
    </row>
    <row r="941" spans="1:5" ht="15.75" customHeight="1" x14ac:dyDescent="0.25">
      <c r="A941" s="56"/>
      <c r="E941" s="57"/>
    </row>
    <row r="942" spans="1:5" ht="15.75" customHeight="1" x14ac:dyDescent="0.25">
      <c r="A942" s="56"/>
      <c r="E942" s="57"/>
    </row>
    <row r="943" spans="1:5" ht="15.75" customHeight="1" x14ac:dyDescent="0.25">
      <c r="A943" s="56"/>
      <c r="E943" s="57"/>
    </row>
    <row r="944" spans="1:5" ht="15.75" customHeight="1" x14ac:dyDescent="0.25">
      <c r="A944" s="56"/>
      <c r="E944" s="57"/>
    </row>
    <row r="945" spans="1:5" ht="15.75" customHeight="1" x14ac:dyDescent="0.25">
      <c r="A945" s="56"/>
      <c r="E945" s="57"/>
    </row>
    <row r="946" spans="1:5" ht="15.75" customHeight="1" x14ac:dyDescent="0.25">
      <c r="A946" s="56"/>
      <c r="E946" s="57"/>
    </row>
    <row r="947" spans="1:5" ht="15.75" customHeight="1" x14ac:dyDescent="0.25">
      <c r="A947" s="56"/>
      <c r="E947" s="57"/>
    </row>
    <row r="948" spans="1:5" ht="15.75" customHeight="1" x14ac:dyDescent="0.25">
      <c r="A948" s="56"/>
      <c r="E948" s="57"/>
    </row>
    <row r="949" spans="1:5" ht="15.75" customHeight="1" x14ac:dyDescent="0.25">
      <c r="A949" s="56"/>
      <c r="E949" s="57"/>
    </row>
    <row r="950" spans="1:5" ht="15.75" customHeight="1" x14ac:dyDescent="0.25">
      <c r="A950" s="56"/>
      <c r="E950" s="57"/>
    </row>
    <row r="951" spans="1:5" ht="15.75" customHeight="1" x14ac:dyDescent="0.25">
      <c r="A951" s="56"/>
      <c r="E951" s="57"/>
    </row>
    <row r="952" spans="1:5" ht="15.75" customHeight="1" x14ac:dyDescent="0.25">
      <c r="A952" s="56"/>
      <c r="E952" s="57"/>
    </row>
    <row r="953" spans="1:5" ht="15.75" customHeight="1" x14ac:dyDescent="0.25">
      <c r="A953" s="56"/>
      <c r="E953" s="57"/>
    </row>
    <row r="954" spans="1:5" ht="15.75" customHeight="1" x14ac:dyDescent="0.25">
      <c r="A954" s="56"/>
      <c r="E954" s="57"/>
    </row>
    <row r="955" spans="1:5" ht="15.75" customHeight="1" x14ac:dyDescent="0.25">
      <c r="A955" s="56"/>
      <c r="E955" s="57"/>
    </row>
    <row r="956" spans="1:5" ht="15.75" customHeight="1" x14ac:dyDescent="0.25">
      <c r="A956" s="56"/>
      <c r="E956" s="57"/>
    </row>
    <row r="957" spans="1:5" ht="15.75" customHeight="1" x14ac:dyDescent="0.25">
      <c r="A957" s="56"/>
      <c r="E957" s="57"/>
    </row>
    <row r="958" spans="1:5" ht="15.75" customHeight="1" x14ac:dyDescent="0.25">
      <c r="A958" s="56"/>
      <c r="E958" s="57"/>
    </row>
    <row r="959" spans="1:5" ht="15.75" customHeight="1" x14ac:dyDescent="0.25">
      <c r="A959" s="56"/>
      <c r="E959" s="57"/>
    </row>
    <row r="960" spans="1:5" ht="15.75" customHeight="1" x14ac:dyDescent="0.25">
      <c r="A960" s="56"/>
      <c r="E960" s="57"/>
    </row>
    <row r="961" spans="1:5" ht="15.75" customHeight="1" x14ac:dyDescent="0.25">
      <c r="A961" s="56"/>
      <c r="E961" s="57"/>
    </row>
    <row r="962" spans="1:5" ht="15.75" customHeight="1" x14ac:dyDescent="0.25">
      <c r="A962" s="56"/>
      <c r="E962" s="57"/>
    </row>
    <row r="963" spans="1:5" ht="15.75" customHeight="1" x14ac:dyDescent="0.25">
      <c r="A963" s="56"/>
      <c r="E963" s="57"/>
    </row>
    <row r="964" spans="1:5" ht="15.75" customHeight="1" x14ac:dyDescent="0.25">
      <c r="A964" s="56"/>
      <c r="E964" s="57"/>
    </row>
    <row r="965" spans="1:5" ht="15.75" customHeight="1" x14ac:dyDescent="0.25">
      <c r="A965" s="56"/>
      <c r="E965" s="57"/>
    </row>
    <row r="966" spans="1:5" ht="15.75" customHeight="1" x14ac:dyDescent="0.25">
      <c r="A966" s="56"/>
      <c r="E966" s="57"/>
    </row>
    <row r="967" spans="1:5" ht="15.75" customHeight="1" x14ac:dyDescent="0.25">
      <c r="A967" s="56"/>
      <c r="E967" s="57"/>
    </row>
    <row r="968" spans="1:5" ht="15.75" customHeight="1" x14ac:dyDescent="0.25">
      <c r="A968" s="56"/>
      <c r="E968" s="57"/>
    </row>
    <row r="969" spans="1:5" ht="15.75" customHeight="1" x14ac:dyDescent="0.25">
      <c r="A969" s="56"/>
      <c r="E969" s="57"/>
    </row>
    <row r="970" spans="1:5" ht="15.75" customHeight="1" x14ac:dyDescent="0.25">
      <c r="A970" s="56"/>
      <c r="E970" s="57"/>
    </row>
    <row r="971" spans="1:5" ht="15.75" customHeight="1" x14ac:dyDescent="0.25">
      <c r="A971" s="56"/>
      <c r="E971" s="57"/>
    </row>
    <row r="972" spans="1:5" ht="15.75" customHeight="1" x14ac:dyDescent="0.25">
      <c r="A972" s="56"/>
      <c r="E972" s="57"/>
    </row>
    <row r="973" spans="1:5" ht="15.75" customHeight="1" x14ac:dyDescent="0.25">
      <c r="A973" s="56"/>
      <c r="E973" s="57"/>
    </row>
    <row r="974" spans="1:5" ht="15.75" customHeight="1" x14ac:dyDescent="0.25">
      <c r="A974" s="56"/>
      <c r="E974" s="57"/>
    </row>
    <row r="975" spans="1:5" ht="15.75" customHeight="1" x14ac:dyDescent="0.25">
      <c r="A975" s="56"/>
      <c r="E975" s="57"/>
    </row>
    <row r="976" spans="1:5" ht="15.75" customHeight="1" x14ac:dyDescent="0.25">
      <c r="A976" s="56"/>
      <c r="E976" s="57"/>
    </row>
    <row r="977" spans="1:5" ht="15.75" customHeight="1" x14ac:dyDescent="0.25">
      <c r="A977" s="56"/>
      <c r="E977" s="57"/>
    </row>
    <row r="978" spans="1:5" ht="15.75" customHeight="1" x14ac:dyDescent="0.25">
      <c r="A978" s="56"/>
      <c r="E978" s="57"/>
    </row>
    <row r="979" spans="1:5" ht="15.75" customHeight="1" x14ac:dyDescent="0.25">
      <c r="A979" s="56"/>
      <c r="E979" s="57"/>
    </row>
    <row r="980" spans="1:5" ht="15.75" customHeight="1" x14ac:dyDescent="0.25">
      <c r="A980" s="56"/>
      <c r="E980" s="57"/>
    </row>
    <row r="981" spans="1:5" ht="15.75" customHeight="1" x14ac:dyDescent="0.25">
      <c r="A981" s="56"/>
      <c r="E981" s="57"/>
    </row>
    <row r="982" spans="1:5" ht="15.75" customHeight="1" x14ac:dyDescent="0.25">
      <c r="A982" s="56"/>
      <c r="E982" s="57"/>
    </row>
    <row r="983" spans="1:5" ht="15.75" customHeight="1" x14ac:dyDescent="0.25">
      <c r="A983" s="56"/>
      <c r="E983" s="57"/>
    </row>
    <row r="984" spans="1:5" ht="15.75" customHeight="1" x14ac:dyDescent="0.25">
      <c r="A984" s="56"/>
      <c r="E984" s="57"/>
    </row>
    <row r="985" spans="1:5" ht="15.75" customHeight="1" x14ac:dyDescent="0.25">
      <c r="A985" s="56"/>
      <c r="E985" s="57"/>
    </row>
    <row r="986" spans="1:5" ht="15.75" customHeight="1" x14ac:dyDescent="0.25">
      <c r="A986" s="56"/>
      <c r="E986" s="57"/>
    </row>
    <row r="987" spans="1:5" ht="15.75" customHeight="1" x14ac:dyDescent="0.25">
      <c r="A987" s="56"/>
      <c r="E987" s="57"/>
    </row>
    <row r="988" spans="1:5" ht="15.75" customHeight="1" x14ac:dyDescent="0.25">
      <c r="A988" s="56"/>
      <c r="E988" s="57"/>
    </row>
    <row r="989" spans="1:5" ht="15.75" customHeight="1" x14ac:dyDescent="0.25">
      <c r="A989" s="56"/>
      <c r="E989" s="57"/>
    </row>
    <row r="990" spans="1:5" ht="15.75" customHeight="1" x14ac:dyDescent="0.25">
      <c r="A990" s="56"/>
      <c r="E990" s="57"/>
    </row>
    <row r="991" spans="1:5" ht="15.75" customHeight="1" x14ac:dyDescent="0.25">
      <c r="A991" s="56"/>
      <c r="E991" s="57"/>
    </row>
    <row r="992" spans="1:5" ht="15.75" customHeight="1" x14ac:dyDescent="0.25">
      <c r="A992" s="56"/>
      <c r="E992" s="57"/>
    </row>
    <row r="993" spans="1:5" ht="15.75" customHeight="1" x14ac:dyDescent="0.25">
      <c r="A993" s="56"/>
      <c r="E993" s="57"/>
    </row>
    <row r="994" spans="1:5" ht="15.75" customHeight="1" x14ac:dyDescent="0.25">
      <c r="A994" s="56"/>
      <c r="E994" s="57"/>
    </row>
    <row r="995" spans="1:5" ht="15.75" customHeight="1" x14ac:dyDescent="0.25">
      <c r="A995" s="56"/>
      <c r="E995" s="57"/>
    </row>
    <row r="996" spans="1:5" ht="15.75" customHeight="1" x14ac:dyDescent="0.25">
      <c r="A996" s="56"/>
      <c r="E996" s="57"/>
    </row>
    <row r="997" spans="1:5" ht="15.75" customHeight="1" x14ac:dyDescent="0.25">
      <c r="A997" s="56"/>
      <c r="E997" s="57"/>
    </row>
    <row r="998" spans="1:5" ht="15.75" customHeight="1" x14ac:dyDescent="0.25">
      <c r="A998" s="56"/>
      <c r="E998" s="57"/>
    </row>
    <row r="999" spans="1:5" ht="15.75" customHeight="1" x14ac:dyDescent="0.25">
      <c r="A999" s="56"/>
      <c r="E999" s="57"/>
    </row>
    <row r="1000" spans="1:5" ht="15.75" customHeight="1" x14ac:dyDescent="0.25">
      <c r="A1000" s="56"/>
      <c r="E1000" s="57"/>
    </row>
    <row r="1001" spans="1:5" ht="15.75" customHeight="1" x14ac:dyDescent="0.25">
      <c r="A1001" s="56"/>
      <c r="E1001" s="57"/>
    </row>
    <row r="1002" spans="1:5" ht="15.75" customHeight="1" x14ac:dyDescent="0.25">
      <c r="A1002" s="56"/>
      <c r="E1002" s="57"/>
    </row>
    <row r="1003" spans="1:5" ht="15.75" customHeight="1" x14ac:dyDescent="0.25">
      <c r="A1003" s="56"/>
      <c r="E1003" s="57"/>
    </row>
    <row r="1004" spans="1:5" ht="15.75" customHeight="1" x14ac:dyDescent="0.25">
      <c r="A1004" s="56"/>
      <c r="E1004" s="57"/>
    </row>
    <row r="1005" spans="1:5" ht="15.75" customHeight="1" x14ac:dyDescent="0.25">
      <c r="A1005" s="56"/>
      <c r="E1005" s="57"/>
    </row>
    <row r="1006" spans="1:5" ht="15.75" customHeight="1" x14ac:dyDescent="0.25">
      <c r="A1006" s="56"/>
      <c r="E1006" s="57"/>
    </row>
    <row r="1007" spans="1:5" ht="15.75" customHeight="1" x14ac:dyDescent="0.25">
      <c r="A1007" s="56"/>
      <c r="E1007" s="57"/>
    </row>
    <row r="1008" spans="1:5" ht="15.75" customHeight="1" x14ac:dyDescent="0.25">
      <c r="A1008" s="56"/>
      <c r="E1008" s="57"/>
    </row>
    <row r="1009" spans="1:5" ht="15.75" customHeight="1" x14ac:dyDescent="0.25">
      <c r="A1009" s="56"/>
      <c r="E1009" s="57"/>
    </row>
    <row r="1010" spans="1:5" ht="15.75" customHeight="1" x14ac:dyDescent="0.25">
      <c r="A1010" s="56"/>
      <c r="E1010" s="57"/>
    </row>
    <row r="1011" spans="1:5" ht="15.75" customHeight="1" x14ac:dyDescent="0.25">
      <c r="A1011" s="56"/>
      <c r="E1011" s="57"/>
    </row>
    <row r="1012" spans="1:5" ht="15.75" customHeight="1" x14ac:dyDescent="0.25">
      <c r="A1012" s="56"/>
      <c r="E1012" s="57"/>
    </row>
    <row r="1013" spans="1:5" ht="15.75" customHeight="1" x14ac:dyDescent="0.25">
      <c r="A1013" s="56"/>
      <c r="E1013" s="57"/>
    </row>
  </sheetData>
  <mergeCells count="22">
    <mergeCell ref="A1:N1"/>
    <mergeCell ref="A4:A6"/>
    <mergeCell ref="B4:B6"/>
    <mergeCell ref="C4:C6"/>
    <mergeCell ref="D4:D6"/>
    <mergeCell ref="E4:E6"/>
    <mergeCell ref="F4:F6"/>
    <mergeCell ref="G4:G6"/>
    <mergeCell ref="H4:H6"/>
    <mergeCell ref="I4:N4"/>
    <mergeCell ref="I5:K5"/>
    <mergeCell ref="L5:N5"/>
    <mergeCell ref="B53:B66"/>
    <mergeCell ref="C53:C66"/>
    <mergeCell ref="B67:B81"/>
    <mergeCell ref="C67:C81"/>
    <mergeCell ref="B7:B21"/>
    <mergeCell ref="C7:C21"/>
    <mergeCell ref="B22:B36"/>
    <mergeCell ref="C22:C36"/>
    <mergeCell ref="B38:B52"/>
    <mergeCell ref="C38:C52"/>
  </mergeCells>
  <dataValidations count="1">
    <dataValidation type="list" allowBlank="1" showErrorMessage="1" sqref="C53">
      <formula1>"Pudak, Muara Kumpeh, Kota Karang, Sumber Jaya, Sipin Teluk Duren dan Teluk Raya"</formula1>
    </dataValidation>
  </dataValidations>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5"/>
  <sheetViews>
    <sheetView workbookViewId="0">
      <selection activeCell="I28" sqref="I28"/>
    </sheetView>
  </sheetViews>
  <sheetFormatPr defaultColWidth="14.42578125" defaultRowHeight="15" customHeight="1" x14ac:dyDescent="0.25"/>
  <cols>
    <col min="1" max="1" width="4.140625" style="15" bestFit="1" customWidth="1"/>
    <col min="2" max="2" width="19.28515625" style="15" customWidth="1"/>
    <col min="3" max="3" width="11.42578125" style="15" bestFit="1" customWidth="1"/>
    <col min="4" max="4" width="16.7109375" style="15" customWidth="1"/>
    <col min="5" max="5" width="10.85546875" style="15" customWidth="1"/>
    <col min="6" max="6" width="16.7109375" style="15" customWidth="1"/>
    <col min="7" max="7" width="32" style="15" customWidth="1"/>
    <col min="8" max="8" width="12.85546875" style="15" customWidth="1"/>
    <col min="9" max="9" width="47.28515625" style="15" bestFit="1" customWidth="1"/>
    <col min="10" max="10" width="17.140625" style="15" customWidth="1"/>
    <col min="11" max="11" width="51" style="15" customWidth="1"/>
    <col min="12" max="16384" width="14.42578125" style="15"/>
  </cols>
  <sheetData>
    <row r="1" spans="1:26" ht="18.75" x14ac:dyDescent="0.3">
      <c r="A1" s="205" t="s">
        <v>1584</v>
      </c>
      <c r="B1" s="165"/>
      <c r="C1" s="165"/>
      <c r="D1" s="165"/>
      <c r="E1" s="165"/>
      <c r="F1" s="165"/>
      <c r="G1" s="165"/>
      <c r="H1" s="165"/>
      <c r="I1" s="165"/>
      <c r="J1" s="165"/>
      <c r="K1" s="165"/>
    </row>
    <row r="2" spans="1:26" x14ac:dyDescent="0.25">
      <c r="A2" s="39"/>
    </row>
    <row r="3" spans="1:26" x14ac:dyDescent="0.25">
      <c r="A3" s="39"/>
    </row>
    <row r="4" spans="1:26" ht="45" x14ac:dyDescent="0.25">
      <c r="A4" s="90" t="s">
        <v>1</v>
      </c>
      <c r="B4" s="90" t="s">
        <v>309</v>
      </c>
      <c r="C4" s="90" t="s">
        <v>1585</v>
      </c>
      <c r="D4" s="90" t="s">
        <v>1447</v>
      </c>
      <c r="E4" s="90" t="s">
        <v>1586</v>
      </c>
      <c r="F4" s="90" t="s">
        <v>1587</v>
      </c>
      <c r="G4" s="90" t="s">
        <v>1588</v>
      </c>
      <c r="H4" s="90" t="s">
        <v>1589</v>
      </c>
      <c r="I4" s="90" t="s">
        <v>1662</v>
      </c>
      <c r="J4" s="90" t="s">
        <v>1590</v>
      </c>
      <c r="K4" s="90" t="s">
        <v>1591</v>
      </c>
      <c r="L4" s="29"/>
      <c r="M4" s="29"/>
      <c r="N4" s="29"/>
      <c r="O4" s="29"/>
      <c r="P4" s="29"/>
      <c r="Q4" s="29"/>
      <c r="R4" s="29"/>
      <c r="S4" s="29"/>
      <c r="T4" s="29"/>
      <c r="U4" s="29"/>
      <c r="V4" s="29"/>
      <c r="W4" s="29"/>
      <c r="X4" s="29"/>
      <c r="Y4" s="29"/>
      <c r="Z4" s="29"/>
    </row>
    <row r="5" spans="1:26" x14ac:dyDescent="0.25">
      <c r="A5" s="98">
        <v>1</v>
      </c>
      <c r="B5" s="99" t="s">
        <v>315</v>
      </c>
      <c r="C5" s="100">
        <v>31</v>
      </c>
      <c r="D5" s="99" t="s">
        <v>1496</v>
      </c>
      <c r="E5" s="100">
        <v>1</v>
      </c>
      <c r="F5" s="99" t="s">
        <v>1592</v>
      </c>
      <c r="G5" s="99" t="s">
        <v>1593</v>
      </c>
      <c r="H5" s="99" t="s">
        <v>275</v>
      </c>
      <c r="I5" s="99" t="s">
        <v>275</v>
      </c>
      <c r="J5" s="99"/>
      <c r="K5" s="99" t="s">
        <v>1594</v>
      </c>
    </row>
    <row r="6" spans="1:26" x14ac:dyDescent="0.25">
      <c r="A6" s="98">
        <v>2</v>
      </c>
      <c r="B6" s="99" t="s">
        <v>317</v>
      </c>
      <c r="C6" s="100">
        <v>36</v>
      </c>
      <c r="D6" s="99" t="s">
        <v>1462</v>
      </c>
      <c r="E6" s="100">
        <v>1</v>
      </c>
      <c r="F6" s="99" t="s">
        <v>1592</v>
      </c>
      <c r="G6" s="99" t="s">
        <v>1595</v>
      </c>
      <c r="H6" s="99" t="s">
        <v>275</v>
      </c>
      <c r="I6" s="99" t="s">
        <v>275</v>
      </c>
      <c r="J6" s="99"/>
      <c r="K6" s="99" t="s">
        <v>1596</v>
      </c>
    </row>
    <row r="7" spans="1:26" x14ac:dyDescent="0.25">
      <c r="A7" s="98">
        <v>3</v>
      </c>
      <c r="B7" s="99" t="s">
        <v>318</v>
      </c>
      <c r="C7" s="100">
        <v>37</v>
      </c>
      <c r="D7" s="99" t="s">
        <v>1496</v>
      </c>
      <c r="E7" s="100">
        <v>1</v>
      </c>
      <c r="F7" s="99" t="s">
        <v>1592</v>
      </c>
      <c r="G7" s="99" t="s">
        <v>1593</v>
      </c>
      <c r="H7" s="99" t="s">
        <v>275</v>
      </c>
      <c r="I7" s="99" t="s">
        <v>275</v>
      </c>
      <c r="J7" s="99"/>
      <c r="K7" s="99" t="s">
        <v>1596</v>
      </c>
    </row>
    <row r="8" spans="1:26" x14ac:dyDescent="0.25">
      <c r="A8" s="98">
        <v>4</v>
      </c>
      <c r="B8" s="99" t="s">
        <v>319</v>
      </c>
      <c r="C8" s="100">
        <v>38</v>
      </c>
      <c r="D8" s="99" t="s">
        <v>1496</v>
      </c>
      <c r="E8" s="100">
        <v>1</v>
      </c>
      <c r="F8" s="99" t="s">
        <v>1592</v>
      </c>
      <c r="G8" s="99" t="s">
        <v>1593</v>
      </c>
      <c r="H8" s="99" t="s">
        <v>275</v>
      </c>
      <c r="I8" s="99" t="s">
        <v>275</v>
      </c>
      <c r="J8" s="99"/>
      <c r="K8" s="99" t="s">
        <v>1597</v>
      </c>
    </row>
    <row r="9" spans="1:26" x14ac:dyDescent="0.25">
      <c r="A9" s="98">
        <v>5</v>
      </c>
      <c r="B9" s="101" t="s">
        <v>1598</v>
      </c>
      <c r="C9" s="102">
        <v>31</v>
      </c>
      <c r="D9" s="101" t="s">
        <v>1599</v>
      </c>
      <c r="E9" s="102" t="s">
        <v>416</v>
      </c>
      <c r="F9" s="101" t="s">
        <v>1592</v>
      </c>
      <c r="G9" s="101" t="s">
        <v>1600</v>
      </c>
      <c r="H9" s="101" t="s">
        <v>1601</v>
      </c>
      <c r="I9" s="101" t="s">
        <v>1602</v>
      </c>
      <c r="J9" s="101" t="s">
        <v>1603</v>
      </c>
      <c r="K9" s="101" t="s">
        <v>1604</v>
      </c>
    </row>
    <row r="10" spans="1:26" x14ac:dyDescent="0.25">
      <c r="A10" s="98">
        <v>6</v>
      </c>
      <c r="B10" s="101" t="s">
        <v>1605</v>
      </c>
      <c r="C10" s="102">
        <v>31</v>
      </c>
      <c r="D10" s="101" t="s">
        <v>1458</v>
      </c>
      <c r="E10" s="102" t="s">
        <v>416</v>
      </c>
      <c r="F10" s="101" t="s">
        <v>1592</v>
      </c>
      <c r="G10" s="101" t="s">
        <v>1600</v>
      </c>
      <c r="H10" s="101" t="s">
        <v>1601</v>
      </c>
      <c r="I10" s="101" t="s">
        <v>1602</v>
      </c>
      <c r="J10" s="101" t="s">
        <v>1603</v>
      </c>
      <c r="K10" s="101" t="s">
        <v>1604</v>
      </c>
    </row>
    <row r="11" spans="1:26" ht="15" customHeight="1" x14ac:dyDescent="0.25">
      <c r="A11" s="103">
        <v>12</v>
      </c>
      <c r="B11" s="104" t="s">
        <v>323</v>
      </c>
      <c r="C11" s="103">
        <v>39</v>
      </c>
      <c r="D11" s="104" t="s">
        <v>1462</v>
      </c>
      <c r="E11" s="103">
        <v>1</v>
      </c>
      <c r="F11" s="104" t="s">
        <v>1606</v>
      </c>
      <c r="G11" s="104" t="s">
        <v>1595</v>
      </c>
      <c r="H11" s="104" t="s">
        <v>1607</v>
      </c>
      <c r="I11" s="104" t="s">
        <v>1608</v>
      </c>
      <c r="J11" s="104"/>
      <c r="K11" s="104"/>
    </row>
    <row r="12" spans="1:26" ht="15" customHeight="1" x14ac:dyDescent="0.25">
      <c r="A12" s="103">
        <v>13</v>
      </c>
      <c r="B12" s="104" t="s">
        <v>1609</v>
      </c>
      <c r="C12" s="103">
        <v>31</v>
      </c>
      <c r="D12" s="104" t="s">
        <v>1462</v>
      </c>
      <c r="E12" s="103">
        <v>4</v>
      </c>
      <c r="F12" s="104" t="s">
        <v>1606</v>
      </c>
      <c r="G12" s="104" t="s">
        <v>254</v>
      </c>
      <c r="H12" s="104" t="s">
        <v>1610</v>
      </c>
      <c r="I12" s="104" t="s">
        <v>1611</v>
      </c>
      <c r="J12" s="104"/>
      <c r="K12" s="104" t="s">
        <v>1612</v>
      </c>
    </row>
    <row r="13" spans="1:26" ht="25.5" x14ac:dyDescent="0.25">
      <c r="A13" s="103">
        <v>14</v>
      </c>
      <c r="B13" s="105" t="s">
        <v>1613</v>
      </c>
      <c r="C13" s="103">
        <v>33</v>
      </c>
      <c r="D13" s="105" t="s">
        <v>1458</v>
      </c>
      <c r="E13" s="103">
        <v>0.25</v>
      </c>
      <c r="F13" s="105" t="s">
        <v>1606</v>
      </c>
      <c r="G13" s="105" t="s">
        <v>254</v>
      </c>
      <c r="H13" s="105" t="s">
        <v>1610</v>
      </c>
      <c r="I13" s="105" t="s">
        <v>1611</v>
      </c>
      <c r="J13" s="105"/>
      <c r="K13" s="106" t="s">
        <v>1614</v>
      </c>
    </row>
    <row r="14" spans="1:26" ht="27" customHeight="1" x14ac:dyDescent="0.25">
      <c r="A14" s="103">
        <v>15</v>
      </c>
      <c r="B14" s="104" t="s">
        <v>1615</v>
      </c>
      <c r="C14" s="103">
        <v>35</v>
      </c>
      <c r="D14" s="104" t="s">
        <v>1458</v>
      </c>
      <c r="E14" s="103">
        <v>1</v>
      </c>
      <c r="F14" s="104" t="s">
        <v>1606</v>
      </c>
      <c r="G14" s="105" t="s">
        <v>254</v>
      </c>
      <c r="H14" s="105" t="s">
        <v>1610</v>
      </c>
      <c r="I14" s="105" t="s">
        <v>1611</v>
      </c>
      <c r="J14" s="104"/>
      <c r="K14" s="106" t="s">
        <v>1616</v>
      </c>
    </row>
    <row r="15" spans="1:26" ht="25.5" x14ac:dyDescent="0.25">
      <c r="A15" s="103">
        <v>16</v>
      </c>
      <c r="B15" s="104" t="s">
        <v>556</v>
      </c>
      <c r="C15" s="103">
        <v>36</v>
      </c>
      <c r="D15" s="104" t="s">
        <v>1462</v>
      </c>
      <c r="E15" s="103">
        <v>1</v>
      </c>
      <c r="F15" s="104" t="s">
        <v>1606</v>
      </c>
      <c r="G15" s="104" t="s">
        <v>254</v>
      </c>
      <c r="H15" s="104" t="s">
        <v>1610</v>
      </c>
      <c r="I15" s="105" t="s">
        <v>1611</v>
      </c>
      <c r="J15" s="104"/>
      <c r="K15" s="106" t="s">
        <v>1614</v>
      </c>
    </row>
    <row r="16" spans="1:26" ht="25.5" x14ac:dyDescent="0.25">
      <c r="A16" s="103">
        <v>17</v>
      </c>
      <c r="B16" s="104" t="s">
        <v>1617</v>
      </c>
      <c r="C16" s="103">
        <v>28</v>
      </c>
      <c r="D16" s="104" t="s">
        <v>1458</v>
      </c>
      <c r="E16" s="103">
        <v>1</v>
      </c>
      <c r="F16" s="104" t="s">
        <v>1606</v>
      </c>
      <c r="G16" s="104" t="s">
        <v>254</v>
      </c>
      <c r="H16" s="104" t="s">
        <v>1610</v>
      </c>
      <c r="I16" s="104" t="s">
        <v>1611</v>
      </c>
      <c r="J16" s="107"/>
      <c r="K16" s="106" t="s">
        <v>1614</v>
      </c>
    </row>
    <row r="17" spans="1:11" ht="15.75" customHeight="1" x14ac:dyDescent="0.25">
      <c r="A17" s="103">
        <v>18</v>
      </c>
      <c r="B17" s="104" t="s">
        <v>1618</v>
      </c>
      <c r="C17" s="103">
        <v>28</v>
      </c>
      <c r="D17" s="104" t="s">
        <v>1458</v>
      </c>
      <c r="E17" s="103">
        <v>2</v>
      </c>
      <c r="F17" s="104" t="s">
        <v>1606</v>
      </c>
      <c r="G17" s="104" t="s">
        <v>1619</v>
      </c>
      <c r="H17" s="104" t="s">
        <v>1610</v>
      </c>
      <c r="I17" s="104" t="s">
        <v>1611</v>
      </c>
      <c r="J17" s="104"/>
      <c r="K17" s="106" t="s">
        <v>1620</v>
      </c>
    </row>
    <row r="18" spans="1:11" ht="15.75" customHeight="1" x14ac:dyDescent="0.25">
      <c r="A18" s="103">
        <v>19</v>
      </c>
      <c r="B18" s="104" t="s">
        <v>1621</v>
      </c>
      <c r="C18" s="103">
        <v>27</v>
      </c>
      <c r="D18" s="104" t="s">
        <v>1462</v>
      </c>
      <c r="E18" s="103">
        <v>3</v>
      </c>
      <c r="F18" s="104" t="s">
        <v>1592</v>
      </c>
      <c r="G18" s="104" t="s">
        <v>1595</v>
      </c>
      <c r="H18" s="104" t="s">
        <v>1607</v>
      </c>
      <c r="I18" s="104" t="s">
        <v>1611</v>
      </c>
      <c r="J18" s="104"/>
      <c r="K18" s="104" t="s">
        <v>1616</v>
      </c>
    </row>
    <row r="19" spans="1:11" ht="15.75" customHeight="1" x14ac:dyDescent="0.25">
      <c r="A19" s="103">
        <v>20</v>
      </c>
      <c r="B19" s="104" t="s">
        <v>1622</v>
      </c>
      <c r="C19" s="103">
        <v>29</v>
      </c>
      <c r="D19" s="104" t="s">
        <v>1623</v>
      </c>
      <c r="E19" s="103" t="s">
        <v>1624</v>
      </c>
      <c r="F19" s="104" t="s">
        <v>1592</v>
      </c>
      <c r="G19" s="104" t="s">
        <v>1625</v>
      </c>
      <c r="H19" s="104" t="s">
        <v>1610</v>
      </c>
      <c r="I19" s="104" t="s">
        <v>1611</v>
      </c>
      <c r="J19" s="104"/>
      <c r="K19" s="104" t="s">
        <v>1626</v>
      </c>
    </row>
    <row r="20" spans="1:11" ht="15.75" customHeight="1" x14ac:dyDescent="0.25">
      <c r="A20" s="103">
        <v>21</v>
      </c>
      <c r="B20" s="104" t="s">
        <v>1627</v>
      </c>
      <c r="C20" s="103">
        <v>37</v>
      </c>
      <c r="D20" s="104" t="s">
        <v>1462</v>
      </c>
      <c r="E20" s="103">
        <v>3</v>
      </c>
      <c r="F20" s="104" t="s">
        <v>1592</v>
      </c>
      <c r="G20" s="104" t="s">
        <v>1628</v>
      </c>
      <c r="H20" s="104" t="s">
        <v>1610</v>
      </c>
      <c r="I20" s="104" t="s">
        <v>1629</v>
      </c>
      <c r="J20" s="104" t="s">
        <v>1630</v>
      </c>
      <c r="K20" s="104" t="s">
        <v>1597</v>
      </c>
    </row>
    <row r="21" spans="1:11" ht="15.75" customHeight="1" x14ac:dyDescent="0.25">
      <c r="A21" s="103">
        <v>22</v>
      </c>
      <c r="B21" s="104" t="s">
        <v>1631</v>
      </c>
      <c r="C21" s="103">
        <v>35</v>
      </c>
      <c r="D21" s="104" t="s">
        <v>1462</v>
      </c>
      <c r="E21" s="103">
        <v>1.5</v>
      </c>
      <c r="F21" s="104" t="s">
        <v>1592</v>
      </c>
      <c r="G21" s="104" t="s">
        <v>1632</v>
      </c>
      <c r="H21" s="104" t="s">
        <v>1610</v>
      </c>
      <c r="I21" s="104" t="s">
        <v>1633</v>
      </c>
      <c r="J21" s="104" t="s">
        <v>1634</v>
      </c>
      <c r="K21" s="104" t="s">
        <v>1635</v>
      </c>
    </row>
    <row r="22" spans="1:11" ht="15.75" customHeight="1" x14ac:dyDescent="0.25">
      <c r="A22" s="103">
        <v>23</v>
      </c>
      <c r="B22" s="104" t="s">
        <v>1636</v>
      </c>
      <c r="C22" s="103">
        <v>34</v>
      </c>
      <c r="D22" s="104" t="s">
        <v>1458</v>
      </c>
      <c r="E22" s="103" t="s">
        <v>1637</v>
      </c>
      <c r="F22" s="104" t="s">
        <v>1638</v>
      </c>
      <c r="G22" s="104" t="s">
        <v>1639</v>
      </c>
      <c r="H22" s="104" t="s">
        <v>1610</v>
      </c>
      <c r="I22" s="104" t="s">
        <v>1640</v>
      </c>
      <c r="J22" s="104" t="s">
        <v>1641</v>
      </c>
      <c r="K22" s="104" t="s">
        <v>1642</v>
      </c>
    </row>
    <row r="23" spans="1:11" ht="15.75" customHeight="1" x14ac:dyDescent="0.25">
      <c r="A23" s="103">
        <v>24</v>
      </c>
      <c r="B23" s="104" t="s">
        <v>1643</v>
      </c>
      <c r="C23" s="103">
        <v>38</v>
      </c>
      <c r="D23" s="104" t="s">
        <v>1462</v>
      </c>
      <c r="E23" s="103">
        <v>3</v>
      </c>
      <c r="F23" s="104" t="s">
        <v>1638</v>
      </c>
      <c r="G23" s="104" t="s">
        <v>1639</v>
      </c>
      <c r="H23" s="104" t="s">
        <v>1610</v>
      </c>
      <c r="I23" s="104" t="s">
        <v>1644</v>
      </c>
      <c r="J23" s="104" t="s">
        <v>1645</v>
      </c>
      <c r="K23" s="104" t="s">
        <v>1646</v>
      </c>
    </row>
    <row r="24" spans="1:11" ht="15.75" customHeight="1" x14ac:dyDescent="0.25">
      <c r="A24" s="103">
        <v>25</v>
      </c>
      <c r="B24" s="104" t="s">
        <v>1647</v>
      </c>
      <c r="C24" s="103">
        <v>32</v>
      </c>
      <c r="D24" s="104" t="s">
        <v>1648</v>
      </c>
      <c r="E24" s="103" t="s">
        <v>1624</v>
      </c>
      <c r="F24" s="104" t="s">
        <v>1638</v>
      </c>
      <c r="G24" s="104" t="s">
        <v>1649</v>
      </c>
      <c r="H24" s="104" t="s">
        <v>1650</v>
      </c>
      <c r="I24" s="104" t="s">
        <v>1611</v>
      </c>
      <c r="J24" s="104" t="s">
        <v>1651</v>
      </c>
      <c r="K24" s="104" t="s">
        <v>1652</v>
      </c>
    </row>
    <row r="25" spans="1:11" ht="15.75" customHeight="1" x14ac:dyDescent="0.25">
      <c r="A25" s="108"/>
      <c r="B25" s="109"/>
      <c r="C25" s="109"/>
      <c r="D25" s="109"/>
      <c r="E25" s="109"/>
      <c r="F25" s="109"/>
      <c r="G25" s="110"/>
      <c r="H25" s="110"/>
      <c r="I25" s="110"/>
      <c r="J25" s="110"/>
      <c r="K25" s="110"/>
    </row>
    <row r="26" spans="1:11" s="76" customFormat="1" ht="15.75" customHeight="1" x14ac:dyDescent="0.25">
      <c r="A26" s="96"/>
      <c r="B26" s="97"/>
      <c r="C26" s="97"/>
      <c r="D26" s="97"/>
      <c r="E26" s="97"/>
      <c r="F26" s="97"/>
      <c r="G26" s="97"/>
      <c r="H26" s="97"/>
      <c r="I26" s="97"/>
      <c r="J26" s="97"/>
      <c r="K26" s="97"/>
    </row>
    <row r="27" spans="1:11" s="76" customFormat="1" ht="15.75" customHeight="1" x14ac:dyDescent="0.25">
      <c r="A27" s="96"/>
      <c r="B27" s="97"/>
      <c r="C27" s="97"/>
      <c r="D27" s="97"/>
      <c r="E27" s="97"/>
      <c r="F27" s="97"/>
      <c r="G27" s="97"/>
      <c r="H27" s="97"/>
      <c r="I27" s="97"/>
      <c r="J27" s="97"/>
      <c r="K27" s="97"/>
    </row>
    <row r="28" spans="1:11" s="76" customFormat="1" ht="15.75" customHeight="1" x14ac:dyDescent="0.25">
      <c r="A28" s="96"/>
      <c r="B28" s="97"/>
      <c r="C28" s="97"/>
      <c r="D28" s="97"/>
      <c r="E28" s="97"/>
      <c r="F28" s="97"/>
      <c r="G28" s="97"/>
      <c r="H28" s="97"/>
      <c r="I28" s="97"/>
      <c r="J28" s="97"/>
      <c r="K28" s="97"/>
    </row>
    <row r="29" spans="1:11" s="76" customFormat="1" ht="15.75" customHeight="1" x14ac:dyDescent="0.25">
      <c r="A29" s="96"/>
      <c r="B29" s="97"/>
      <c r="C29" s="97"/>
      <c r="D29" s="97"/>
      <c r="E29" s="97"/>
      <c r="F29" s="97"/>
      <c r="G29" s="97"/>
      <c r="H29" s="97"/>
      <c r="I29" s="97"/>
      <c r="J29" s="97"/>
      <c r="K29" s="97"/>
    </row>
    <row r="30" spans="1:11" s="76" customFormat="1" ht="15.75" customHeight="1" x14ac:dyDescent="0.25">
      <c r="A30" s="96"/>
      <c r="B30" s="97"/>
      <c r="C30" s="97"/>
      <c r="D30" s="97"/>
      <c r="E30" s="97"/>
      <c r="F30" s="97"/>
      <c r="G30" s="97"/>
      <c r="H30" s="97"/>
      <c r="I30" s="97"/>
      <c r="J30" s="97"/>
      <c r="K30" s="97"/>
    </row>
    <row r="31" spans="1:11" s="76" customFormat="1" ht="15.75" customHeight="1" x14ac:dyDescent="0.25">
      <c r="A31" s="96"/>
      <c r="B31" s="97"/>
      <c r="C31" s="97"/>
      <c r="D31" s="97"/>
      <c r="E31" s="97"/>
      <c r="F31" s="97"/>
      <c r="G31" s="97"/>
      <c r="H31" s="97"/>
      <c r="I31" s="97"/>
      <c r="J31" s="97"/>
      <c r="K31" s="97"/>
    </row>
    <row r="32" spans="1:11" s="76" customFormat="1" ht="15.75" customHeight="1" x14ac:dyDescent="0.25">
      <c r="A32" s="96"/>
      <c r="B32" s="97"/>
      <c r="C32" s="97"/>
      <c r="D32" s="97"/>
      <c r="E32" s="97"/>
      <c r="F32" s="97"/>
      <c r="G32" s="97"/>
      <c r="H32" s="97"/>
      <c r="I32" s="97"/>
      <c r="J32" s="97"/>
      <c r="K32" s="97"/>
    </row>
    <row r="33" spans="1:11" s="76" customFormat="1" ht="15.75" customHeight="1" x14ac:dyDescent="0.25">
      <c r="A33" s="96"/>
      <c r="B33" s="97"/>
      <c r="C33" s="97"/>
      <c r="D33" s="97"/>
      <c r="E33" s="97"/>
      <c r="F33" s="97"/>
      <c r="G33" s="97"/>
      <c r="H33" s="97"/>
      <c r="I33" s="97"/>
      <c r="J33" s="97"/>
      <c r="K33" s="97"/>
    </row>
    <row r="34" spans="1:11" s="76" customFormat="1" ht="15.75" customHeight="1" x14ac:dyDescent="0.25">
      <c r="A34" s="96"/>
      <c r="B34" s="97"/>
      <c r="C34" s="97"/>
      <c r="D34" s="97"/>
      <c r="E34" s="97"/>
      <c r="F34" s="97"/>
      <c r="G34" s="97"/>
      <c r="H34" s="97"/>
      <c r="I34" s="97"/>
      <c r="J34" s="97"/>
      <c r="K34" s="97"/>
    </row>
    <row r="35" spans="1:11" s="76" customFormat="1" ht="15.75" customHeight="1" x14ac:dyDescent="0.25">
      <c r="A35" s="96"/>
      <c r="B35" s="97"/>
      <c r="C35" s="97"/>
      <c r="D35" s="97"/>
      <c r="E35" s="97"/>
      <c r="F35" s="97"/>
      <c r="G35" s="97"/>
      <c r="H35" s="97"/>
      <c r="I35" s="97"/>
      <c r="J35" s="97"/>
      <c r="K35" s="97"/>
    </row>
    <row r="36" spans="1:11" s="76" customFormat="1" ht="15.75" customHeight="1" x14ac:dyDescent="0.25">
      <c r="A36" s="96"/>
      <c r="B36" s="97"/>
      <c r="C36" s="97"/>
      <c r="D36" s="97"/>
      <c r="E36" s="97"/>
      <c r="F36" s="97"/>
      <c r="G36" s="97"/>
      <c r="H36" s="97"/>
      <c r="I36" s="97"/>
      <c r="J36" s="97"/>
      <c r="K36" s="97"/>
    </row>
    <row r="37" spans="1:11" s="76" customFormat="1" ht="15.75" customHeight="1" x14ac:dyDescent="0.25">
      <c r="A37" s="96"/>
      <c r="B37" s="97"/>
      <c r="C37" s="97"/>
      <c r="D37" s="97"/>
      <c r="E37" s="97"/>
      <c r="F37" s="97"/>
      <c r="G37" s="97"/>
      <c r="H37" s="97"/>
      <c r="I37" s="97"/>
      <c r="J37" s="97"/>
      <c r="K37" s="97"/>
    </row>
    <row r="38" spans="1:11" s="76" customFormat="1" ht="15.75" customHeight="1" x14ac:dyDescent="0.25">
      <c r="A38" s="96"/>
      <c r="B38" s="97"/>
      <c r="C38" s="97"/>
      <c r="D38" s="97"/>
      <c r="E38" s="97"/>
      <c r="F38" s="97"/>
      <c r="G38" s="97"/>
      <c r="H38" s="97"/>
      <c r="I38" s="97"/>
      <c r="J38" s="97"/>
      <c r="K38" s="97"/>
    </row>
    <row r="39" spans="1:11" s="76" customFormat="1" ht="15.75" customHeight="1" x14ac:dyDescent="0.25">
      <c r="A39" s="96"/>
      <c r="B39" s="97"/>
      <c r="C39" s="97"/>
      <c r="D39" s="97"/>
      <c r="E39" s="97"/>
      <c r="F39" s="97"/>
      <c r="G39" s="97"/>
      <c r="H39" s="97"/>
      <c r="I39" s="97"/>
      <c r="J39" s="97"/>
      <c r="K39" s="97"/>
    </row>
    <row r="40" spans="1:11" s="76" customFormat="1" ht="15.75" customHeight="1" x14ac:dyDescent="0.25">
      <c r="A40" s="96"/>
      <c r="B40" s="97"/>
      <c r="C40" s="97"/>
      <c r="D40" s="97"/>
      <c r="E40" s="97"/>
      <c r="F40" s="97"/>
      <c r="G40" s="97"/>
      <c r="H40" s="97"/>
      <c r="I40" s="97"/>
      <c r="J40" s="97"/>
      <c r="K40" s="97"/>
    </row>
    <row r="41" spans="1:11" s="76" customFormat="1" ht="15.75" customHeight="1" x14ac:dyDescent="0.25">
      <c r="A41" s="96"/>
      <c r="B41" s="97"/>
      <c r="C41" s="97"/>
      <c r="D41" s="97"/>
      <c r="E41" s="97"/>
      <c r="F41" s="97"/>
      <c r="G41" s="97"/>
      <c r="H41" s="97"/>
      <c r="I41" s="97"/>
      <c r="J41" s="97"/>
      <c r="K41" s="97"/>
    </row>
    <row r="42" spans="1:11" s="76" customFormat="1" ht="15.75" customHeight="1" x14ac:dyDescent="0.25">
      <c r="A42" s="96"/>
      <c r="B42" s="97"/>
      <c r="C42" s="97"/>
      <c r="D42" s="97"/>
      <c r="E42" s="97"/>
      <c r="F42" s="97"/>
      <c r="G42" s="97"/>
      <c r="H42" s="97"/>
      <c r="I42" s="97"/>
      <c r="J42" s="97"/>
      <c r="K42" s="97"/>
    </row>
    <row r="43" spans="1:11" s="76" customFormat="1" ht="15.75" customHeight="1" x14ac:dyDescent="0.25">
      <c r="A43" s="96"/>
      <c r="B43" s="97"/>
      <c r="C43" s="97"/>
      <c r="D43" s="97"/>
      <c r="E43" s="97"/>
      <c r="F43" s="97"/>
      <c r="G43" s="97"/>
      <c r="H43" s="97"/>
      <c r="I43" s="97"/>
      <c r="J43" s="97"/>
      <c r="K43" s="97"/>
    </row>
    <row r="44" spans="1:11" s="76" customFormat="1" ht="15.75" customHeight="1" x14ac:dyDescent="0.25">
      <c r="A44" s="96"/>
      <c r="B44" s="97"/>
      <c r="C44" s="97"/>
      <c r="D44" s="97"/>
      <c r="E44" s="97"/>
      <c r="F44" s="97"/>
      <c r="G44" s="97"/>
      <c r="H44" s="97"/>
      <c r="I44" s="97"/>
      <c r="J44" s="97"/>
      <c r="K44" s="97"/>
    </row>
    <row r="45" spans="1:11" s="76" customFormat="1" ht="15.75" customHeight="1" x14ac:dyDescent="0.25">
      <c r="A45" s="96"/>
      <c r="B45" s="97"/>
      <c r="C45" s="97"/>
      <c r="D45" s="97"/>
      <c r="E45" s="97"/>
      <c r="F45" s="97"/>
      <c r="G45" s="97"/>
      <c r="H45" s="97"/>
      <c r="I45" s="97"/>
      <c r="J45" s="97"/>
      <c r="K45" s="97"/>
    </row>
    <row r="46" spans="1:11" s="76" customFormat="1" ht="15.75" customHeight="1" x14ac:dyDescent="0.25">
      <c r="A46" s="96"/>
      <c r="B46" s="97"/>
      <c r="C46" s="97"/>
      <c r="D46" s="97"/>
      <c r="E46" s="97"/>
      <c r="F46" s="97"/>
      <c r="G46" s="97"/>
      <c r="H46" s="97"/>
      <c r="I46" s="97"/>
      <c r="J46" s="97"/>
      <c r="K46" s="97"/>
    </row>
    <row r="47" spans="1:11" s="76" customFormat="1" ht="15.75" customHeight="1" x14ac:dyDescent="0.25">
      <c r="A47" s="96"/>
      <c r="B47" s="97"/>
      <c r="C47" s="97"/>
      <c r="D47" s="97"/>
      <c r="E47" s="97"/>
      <c r="F47" s="97"/>
      <c r="G47" s="97"/>
      <c r="H47" s="97"/>
      <c r="I47" s="97"/>
      <c r="J47" s="97"/>
      <c r="K47" s="97"/>
    </row>
    <row r="48" spans="1:11" s="76" customFormat="1" ht="15.75" customHeight="1" x14ac:dyDescent="0.25">
      <c r="A48" s="96"/>
      <c r="B48" s="97"/>
      <c r="C48" s="97"/>
      <c r="D48" s="97"/>
      <c r="E48" s="97"/>
      <c r="F48" s="97"/>
      <c r="G48" s="97"/>
      <c r="H48" s="97"/>
      <c r="I48" s="97"/>
      <c r="J48" s="97"/>
      <c r="K48" s="97"/>
    </row>
    <row r="49" spans="1:11" s="76" customFormat="1" ht="15.75" customHeight="1" x14ac:dyDescent="0.25">
      <c r="A49" s="96"/>
      <c r="B49" s="97"/>
      <c r="C49" s="97"/>
      <c r="D49" s="97"/>
      <c r="E49" s="97"/>
      <c r="F49" s="97"/>
      <c r="G49" s="97"/>
      <c r="H49" s="97"/>
      <c r="I49" s="97"/>
      <c r="J49" s="97"/>
      <c r="K49" s="97"/>
    </row>
    <row r="50" spans="1:11" s="76" customFormat="1" ht="15.75" customHeight="1" x14ac:dyDescent="0.25">
      <c r="A50" s="96"/>
      <c r="B50" s="97"/>
      <c r="C50" s="97"/>
      <c r="D50" s="97"/>
      <c r="E50" s="97"/>
      <c r="F50" s="97"/>
      <c r="G50" s="97"/>
      <c r="H50" s="97"/>
      <c r="I50" s="97"/>
      <c r="J50" s="97"/>
      <c r="K50" s="97"/>
    </row>
    <row r="51" spans="1:11" s="76" customFormat="1" ht="15.75" customHeight="1" x14ac:dyDescent="0.25">
      <c r="A51" s="96"/>
      <c r="B51" s="97"/>
      <c r="C51" s="97"/>
      <c r="D51" s="97"/>
      <c r="E51" s="97"/>
      <c r="F51" s="97"/>
      <c r="G51" s="97"/>
      <c r="H51" s="97"/>
      <c r="I51" s="97"/>
      <c r="J51" s="97"/>
      <c r="K51" s="97"/>
    </row>
    <row r="52" spans="1:11" s="76" customFormat="1" ht="15.75" customHeight="1" x14ac:dyDescent="0.25">
      <c r="A52" s="96"/>
      <c r="B52" s="97"/>
      <c r="C52" s="97"/>
      <c r="D52" s="97"/>
      <c r="E52" s="97"/>
      <c r="F52" s="97"/>
      <c r="G52" s="97"/>
      <c r="H52" s="97"/>
      <c r="I52" s="97"/>
      <c r="J52" s="97"/>
      <c r="K52" s="97"/>
    </row>
    <row r="53" spans="1:11" s="76" customFormat="1" ht="15.75" customHeight="1" x14ac:dyDescent="0.25">
      <c r="A53" s="96"/>
      <c r="B53" s="97"/>
      <c r="C53" s="97"/>
      <c r="D53" s="97"/>
      <c r="E53" s="97"/>
      <c r="F53" s="97"/>
      <c r="G53" s="97"/>
      <c r="H53" s="97"/>
      <c r="I53" s="97"/>
      <c r="J53" s="97"/>
      <c r="K53" s="97"/>
    </row>
    <row r="54" spans="1:11" s="76" customFormat="1" ht="15.75" customHeight="1" x14ac:dyDescent="0.25">
      <c r="A54" s="96"/>
      <c r="B54" s="97"/>
      <c r="C54" s="97"/>
      <c r="D54" s="97"/>
      <c r="E54" s="97"/>
      <c r="F54" s="97"/>
      <c r="G54" s="97"/>
      <c r="H54" s="97"/>
      <c r="I54" s="97"/>
      <c r="J54" s="97"/>
      <c r="K54" s="97"/>
    </row>
    <row r="55" spans="1:11" s="76" customFormat="1" ht="15.75" customHeight="1" x14ac:dyDescent="0.25">
      <c r="A55" s="96"/>
      <c r="B55" s="97"/>
      <c r="C55" s="97"/>
      <c r="D55" s="97"/>
      <c r="E55" s="97"/>
      <c r="F55" s="97"/>
      <c r="G55" s="97"/>
      <c r="H55" s="97"/>
      <c r="I55" s="97"/>
      <c r="J55" s="97"/>
      <c r="K55" s="97"/>
    </row>
    <row r="56" spans="1:11" s="76" customFormat="1" ht="15.75" customHeight="1" x14ac:dyDescent="0.25">
      <c r="A56" s="96"/>
      <c r="B56" s="97"/>
      <c r="C56" s="97"/>
      <c r="D56" s="97"/>
      <c r="E56" s="97"/>
      <c r="F56" s="97"/>
      <c r="G56" s="97"/>
      <c r="H56" s="97"/>
      <c r="I56" s="97"/>
      <c r="J56" s="97"/>
      <c r="K56" s="97"/>
    </row>
    <row r="57" spans="1:11" s="76" customFormat="1" ht="15.75" customHeight="1" x14ac:dyDescent="0.25">
      <c r="A57" s="96"/>
      <c r="B57" s="97"/>
      <c r="C57" s="97"/>
      <c r="D57" s="97"/>
      <c r="E57" s="97"/>
      <c r="F57" s="97"/>
      <c r="G57" s="97"/>
      <c r="H57" s="97"/>
      <c r="I57" s="97"/>
      <c r="J57" s="97"/>
      <c r="K57" s="97"/>
    </row>
    <row r="58" spans="1:11" s="76" customFormat="1" ht="15.75" customHeight="1" x14ac:dyDescent="0.25">
      <c r="A58" s="96"/>
      <c r="B58" s="97"/>
      <c r="C58" s="97"/>
      <c r="D58" s="97"/>
      <c r="E58" s="97"/>
      <c r="F58" s="97"/>
      <c r="G58" s="97"/>
      <c r="H58" s="97"/>
      <c r="I58" s="97"/>
      <c r="J58" s="97"/>
      <c r="K58" s="97"/>
    </row>
    <row r="59" spans="1:11" s="76" customFormat="1" ht="15.75" customHeight="1" x14ac:dyDescent="0.25">
      <c r="A59" s="96"/>
      <c r="B59" s="97"/>
      <c r="C59" s="97"/>
      <c r="D59" s="97"/>
      <c r="E59" s="97"/>
      <c r="F59" s="97"/>
      <c r="G59" s="97"/>
      <c r="H59" s="97"/>
      <c r="I59" s="97"/>
      <c r="J59" s="97"/>
      <c r="K59" s="97"/>
    </row>
    <row r="60" spans="1:11" s="76" customFormat="1" ht="15.75" customHeight="1" x14ac:dyDescent="0.25">
      <c r="A60" s="96"/>
      <c r="B60" s="97"/>
      <c r="C60" s="97"/>
      <c r="D60" s="97"/>
      <c r="E60" s="97"/>
      <c r="F60" s="97"/>
      <c r="G60" s="97"/>
      <c r="H60" s="97"/>
      <c r="I60" s="97"/>
      <c r="J60" s="97"/>
      <c r="K60" s="97"/>
    </row>
    <row r="61" spans="1:11" s="76" customFormat="1" ht="15.75" customHeight="1" x14ac:dyDescent="0.25">
      <c r="A61" s="96"/>
      <c r="B61" s="97"/>
      <c r="C61" s="97"/>
      <c r="D61" s="97"/>
      <c r="E61" s="97"/>
      <c r="F61" s="97"/>
      <c r="G61" s="97"/>
      <c r="H61" s="97"/>
      <c r="I61" s="97"/>
      <c r="J61" s="97"/>
      <c r="K61" s="97"/>
    </row>
    <row r="62" spans="1:11" s="76" customFormat="1" ht="15.75" customHeight="1" x14ac:dyDescent="0.25">
      <c r="A62" s="96"/>
      <c r="B62" s="97"/>
      <c r="C62" s="97"/>
      <c r="D62" s="97"/>
      <c r="E62" s="97"/>
      <c r="F62" s="97"/>
      <c r="G62" s="97"/>
      <c r="H62" s="97"/>
      <c r="I62" s="97"/>
      <c r="J62" s="97"/>
      <c r="K62" s="97"/>
    </row>
    <row r="63" spans="1:11" s="76" customFormat="1" ht="15.75" customHeight="1" x14ac:dyDescent="0.25">
      <c r="A63" s="96"/>
      <c r="B63" s="97"/>
      <c r="C63" s="97"/>
      <c r="D63" s="97"/>
      <c r="E63" s="97"/>
      <c r="F63" s="97"/>
      <c r="G63" s="97"/>
      <c r="H63" s="97"/>
      <c r="I63" s="97"/>
      <c r="J63" s="97"/>
      <c r="K63" s="97"/>
    </row>
    <row r="64" spans="1:11" s="76" customFormat="1" ht="15.75" customHeight="1" x14ac:dyDescent="0.25">
      <c r="A64" s="96"/>
      <c r="B64" s="97"/>
      <c r="C64" s="97"/>
      <c r="D64" s="97"/>
      <c r="E64" s="97"/>
      <c r="F64" s="97"/>
      <c r="G64" s="97"/>
      <c r="H64" s="97"/>
      <c r="I64" s="97"/>
      <c r="J64" s="97"/>
      <c r="K64" s="97"/>
    </row>
    <row r="65" spans="1:11" s="76" customFormat="1" ht="15.75" customHeight="1" x14ac:dyDescent="0.25">
      <c r="A65" s="96"/>
      <c r="B65" s="97"/>
      <c r="C65" s="97"/>
      <c r="D65" s="97"/>
      <c r="E65" s="97"/>
      <c r="F65" s="97"/>
      <c r="G65" s="97"/>
      <c r="H65" s="97"/>
      <c r="I65" s="97"/>
      <c r="J65" s="97"/>
      <c r="K65" s="97"/>
    </row>
    <row r="66" spans="1:11" s="76" customFormat="1" ht="15.75" customHeight="1" x14ac:dyDescent="0.25">
      <c r="A66" s="96"/>
      <c r="B66" s="97"/>
      <c r="C66" s="97"/>
      <c r="D66" s="97"/>
      <c r="E66" s="97"/>
      <c r="F66" s="97"/>
      <c r="G66" s="97"/>
      <c r="H66" s="97"/>
      <c r="I66" s="97"/>
      <c r="J66" s="97"/>
      <c r="K66" s="97"/>
    </row>
    <row r="67" spans="1:11" s="76" customFormat="1" ht="15.75" customHeight="1" x14ac:dyDescent="0.25">
      <c r="A67" s="96"/>
      <c r="B67" s="97"/>
      <c r="C67" s="97"/>
      <c r="D67" s="97"/>
      <c r="E67" s="97"/>
      <c r="F67" s="97"/>
      <c r="G67" s="97"/>
      <c r="H67" s="97"/>
      <c r="I67" s="97"/>
      <c r="J67" s="97"/>
      <c r="K67" s="97"/>
    </row>
    <row r="68" spans="1:11" s="76" customFormat="1" ht="15.75" customHeight="1" x14ac:dyDescent="0.25">
      <c r="A68" s="96"/>
      <c r="B68" s="97"/>
      <c r="C68" s="97"/>
      <c r="D68" s="97"/>
      <c r="E68" s="97"/>
      <c r="F68" s="97"/>
      <c r="G68" s="97"/>
      <c r="H68" s="97"/>
      <c r="I68" s="97"/>
      <c r="J68" s="97"/>
      <c r="K68" s="97"/>
    </row>
    <row r="69" spans="1:11" s="76" customFormat="1" ht="15.75" customHeight="1" x14ac:dyDescent="0.25">
      <c r="A69" s="96"/>
      <c r="B69" s="97"/>
      <c r="C69" s="97"/>
      <c r="D69" s="97"/>
      <c r="E69" s="97"/>
      <c r="F69" s="97"/>
      <c r="G69" s="97"/>
      <c r="H69" s="97"/>
      <c r="I69" s="97"/>
      <c r="J69" s="97"/>
      <c r="K69" s="97"/>
    </row>
    <row r="70" spans="1:11" s="76" customFormat="1" ht="15.75" customHeight="1" x14ac:dyDescent="0.25">
      <c r="A70" s="96"/>
      <c r="B70" s="97"/>
      <c r="C70" s="97"/>
      <c r="D70" s="97"/>
      <c r="E70" s="97"/>
      <c r="F70" s="97"/>
      <c r="G70" s="97"/>
      <c r="H70" s="97"/>
      <c r="I70" s="97"/>
      <c r="J70" s="97"/>
      <c r="K70" s="97"/>
    </row>
    <row r="71" spans="1:11" s="76" customFormat="1" ht="15.75" customHeight="1" x14ac:dyDescent="0.25">
      <c r="A71" s="96"/>
      <c r="B71" s="97"/>
      <c r="C71" s="97"/>
      <c r="D71" s="97"/>
      <c r="E71" s="97"/>
      <c r="F71" s="97"/>
      <c r="G71" s="97"/>
      <c r="H71" s="97"/>
      <c r="I71" s="97"/>
      <c r="J71" s="97"/>
      <c r="K71" s="97"/>
    </row>
    <row r="72" spans="1:11" s="76" customFormat="1" ht="15.75" customHeight="1" x14ac:dyDescent="0.25">
      <c r="A72" s="96"/>
      <c r="B72" s="97"/>
      <c r="C72" s="97"/>
      <c r="D72" s="97"/>
      <c r="E72" s="97"/>
      <c r="F72" s="97"/>
      <c r="G72" s="97"/>
      <c r="H72" s="97"/>
      <c r="I72" s="97"/>
      <c r="J72" s="97"/>
      <c r="K72" s="97"/>
    </row>
    <row r="73" spans="1:11" s="76" customFormat="1" ht="15.75" customHeight="1" x14ac:dyDescent="0.25">
      <c r="A73" s="96"/>
      <c r="B73" s="97"/>
      <c r="C73" s="97"/>
      <c r="D73" s="97"/>
      <c r="E73" s="97"/>
      <c r="F73" s="97"/>
      <c r="G73" s="97"/>
      <c r="H73" s="97"/>
      <c r="I73" s="97"/>
      <c r="J73" s="97"/>
      <c r="K73" s="97"/>
    </row>
    <row r="74" spans="1:11" s="76" customFormat="1" ht="15.75" customHeight="1" x14ac:dyDescent="0.25">
      <c r="A74" s="96"/>
      <c r="B74" s="97"/>
      <c r="C74" s="97"/>
      <c r="D74" s="97"/>
      <c r="E74" s="97"/>
      <c r="F74" s="97"/>
      <c r="G74" s="97"/>
      <c r="H74" s="97"/>
      <c r="I74" s="97"/>
      <c r="J74" s="97"/>
      <c r="K74" s="97"/>
    </row>
    <row r="75" spans="1:11" s="76" customFormat="1" ht="15.75" customHeight="1" x14ac:dyDescent="0.25">
      <c r="A75" s="96"/>
      <c r="B75" s="97"/>
      <c r="C75" s="97"/>
      <c r="D75" s="97"/>
      <c r="E75" s="97"/>
      <c r="F75" s="97"/>
      <c r="G75" s="97"/>
      <c r="H75" s="97"/>
      <c r="I75" s="97"/>
      <c r="J75" s="97"/>
      <c r="K75" s="97"/>
    </row>
    <row r="76" spans="1:11" s="76" customFormat="1" ht="15.75" customHeight="1" x14ac:dyDescent="0.25">
      <c r="A76" s="96"/>
      <c r="B76" s="97"/>
      <c r="C76" s="97"/>
      <c r="D76" s="97"/>
      <c r="E76" s="97"/>
      <c r="F76" s="97"/>
      <c r="G76" s="97"/>
      <c r="H76" s="97"/>
      <c r="I76" s="97"/>
      <c r="J76" s="97"/>
      <c r="K76" s="97"/>
    </row>
    <row r="77" spans="1:11" s="76" customFormat="1" ht="15.75" customHeight="1" x14ac:dyDescent="0.25">
      <c r="A77" s="96"/>
      <c r="B77" s="97"/>
      <c r="C77" s="97"/>
      <c r="D77" s="97"/>
      <c r="E77" s="97"/>
      <c r="F77" s="97"/>
      <c r="G77" s="97"/>
      <c r="H77" s="97"/>
      <c r="I77" s="97"/>
      <c r="J77" s="97"/>
      <c r="K77" s="97"/>
    </row>
    <row r="78" spans="1:11" s="76" customFormat="1" ht="15.75" customHeight="1" x14ac:dyDescent="0.25">
      <c r="A78" s="96"/>
      <c r="B78" s="97"/>
      <c r="C78" s="97"/>
      <c r="D78" s="97"/>
      <c r="E78" s="97"/>
      <c r="F78" s="97"/>
      <c r="G78" s="97"/>
      <c r="H78" s="97"/>
      <c r="I78" s="97"/>
      <c r="J78" s="97"/>
      <c r="K78" s="97"/>
    </row>
    <row r="79" spans="1:11" s="76" customFormat="1" ht="15.75" customHeight="1" x14ac:dyDescent="0.25">
      <c r="A79" s="96"/>
      <c r="B79" s="97"/>
      <c r="C79" s="97"/>
      <c r="D79" s="97"/>
      <c r="E79" s="97"/>
      <c r="F79" s="97"/>
      <c r="G79" s="97"/>
      <c r="H79" s="97"/>
      <c r="I79" s="97"/>
      <c r="J79" s="97"/>
      <c r="K79" s="97"/>
    </row>
    <row r="80" spans="1:11" s="76" customFormat="1" ht="15.75" customHeight="1" x14ac:dyDescent="0.25">
      <c r="A80" s="96"/>
      <c r="B80" s="97"/>
      <c r="C80" s="97"/>
      <c r="D80" s="97"/>
      <c r="E80" s="97"/>
      <c r="F80" s="97"/>
      <c r="G80" s="97"/>
      <c r="H80" s="97"/>
      <c r="I80" s="97"/>
      <c r="J80" s="97"/>
      <c r="K80" s="97"/>
    </row>
    <row r="81" spans="1:11" s="76" customFormat="1" ht="15.75" customHeight="1" x14ac:dyDescent="0.25">
      <c r="A81" s="96"/>
      <c r="B81" s="97"/>
      <c r="C81" s="97"/>
      <c r="D81" s="97"/>
      <c r="E81" s="97"/>
      <c r="F81" s="97"/>
      <c r="G81" s="97"/>
      <c r="H81" s="97"/>
      <c r="I81" s="97"/>
      <c r="J81" s="97"/>
      <c r="K81" s="97"/>
    </row>
    <row r="82" spans="1:11" s="76" customFormat="1" ht="15.75" customHeight="1" x14ac:dyDescent="0.25">
      <c r="A82" s="96"/>
      <c r="B82" s="97"/>
      <c r="C82" s="97"/>
      <c r="D82" s="97"/>
      <c r="E82" s="97"/>
      <c r="F82" s="97"/>
      <c r="G82" s="97"/>
      <c r="H82" s="97"/>
      <c r="I82" s="97"/>
      <c r="J82" s="97"/>
      <c r="K82" s="97"/>
    </row>
    <row r="83" spans="1:11" s="76" customFormat="1" ht="15.75" customHeight="1" x14ac:dyDescent="0.25">
      <c r="A83" s="96"/>
      <c r="B83" s="97"/>
      <c r="C83" s="97"/>
      <c r="D83" s="97"/>
      <c r="E83" s="97"/>
      <c r="F83" s="97"/>
      <c r="G83" s="97"/>
      <c r="H83" s="97"/>
      <c r="I83" s="97"/>
      <c r="J83" s="97"/>
      <c r="K83" s="97"/>
    </row>
    <row r="84" spans="1:11" s="76" customFormat="1" ht="15.75" customHeight="1" x14ac:dyDescent="0.25">
      <c r="A84" s="96"/>
      <c r="B84" s="97"/>
      <c r="C84" s="97"/>
      <c r="D84" s="97"/>
      <c r="E84" s="97"/>
      <c r="F84" s="97"/>
      <c r="G84" s="97"/>
      <c r="H84" s="97"/>
      <c r="I84" s="97"/>
      <c r="J84" s="97"/>
      <c r="K84" s="97"/>
    </row>
    <row r="85" spans="1:11" s="76" customFormat="1" ht="15.75" customHeight="1" x14ac:dyDescent="0.25">
      <c r="A85" s="96"/>
      <c r="B85" s="97"/>
      <c r="C85" s="97"/>
      <c r="D85" s="97"/>
      <c r="E85" s="97"/>
      <c r="F85" s="97"/>
      <c r="G85" s="97"/>
      <c r="H85" s="97"/>
      <c r="I85" s="97"/>
      <c r="J85" s="97"/>
      <c r="K85" s="97"/>
    </row>
    <row r="86" spans="1:11" s="76" customFormat="1" ht="15.75" customHeight="1" x14ac:dyDescent="0.25">
      <c r="A86" s="96"/>
      <c r="B86" s="97"/>
      <c r="C86" s="97"/>
      <c r="D86" s="97"/>
      <c r="E86" s="97"/>
      <c r="F86" s="97"/>
      <c r="G86" s="97"/>
      <c r="H86" s="97"/>
      <c r="I86" s="97"/>
      <c r="J86" s="97"/>
      <c r="K86" s="97"/>
    </row>
    <row r="87" spans="1:11" s="76" customFormat="1" ht="15.75" customHeight="1" x14ac:dyDescent="0.25">
      <c r="A87" s="96"/>
      <c r="B87" s="97"/>
      <c r="C87" s="97"/>
      <c r="D87" s="97"/>
      <c r="E87" s="97"/>
      <c r="F87" s="97"/>
      <c r="G87" s="97"/>
      <c r="H87" s="97"/>
      <c r="I87" s="97"/>
      <c r="J87" s="97"/>
      <c r="K87" s="97"/>
    </row>
    <row r="88" spans="1:11" s="76" customFormat="1" ht="15.75" customHeight="1" x14ac:dyDescent="0.25">
      <c r="A88" s="96"/>
      <c r="B88" s="97"/>
      <c r="C88" s="97"/>
      <c r="D88" s="97"/>
      <c r="E88" s="97"/>
      <c r="F88" s="97"/>
      <c r="G88" s="97"/>
      <c r="H88" s="97"/>
      <c r="I88" s="97"/>
      <c r="J88" s="97"/>
      <c r="K88" s="97"/>
    </row>
    <row r="89" spans="1:11" s="76" customFormat="1" ht="15.75" customHeight="1" x14ac:dyDescent="0.25">
      <c r="A89" s="96"/>
      <c r="B89" s="97"/>
      <c r="C89" s="97"/>
      <c r="D89" s="97"/>
      <c r="E89" s="97"/>
      <c r="F89" s="97"/>
      <c r="G89" s="97"/>
      <c r="H89" s="97"/>
      <c r="I89" s="97"/>
      <c r="J89" s="97"/>
      <c r="K89" s="97"/>
    </row>
    <row r="90" spans="1:11" s="76" customFormat="1" ht="15.75" customHeight="1" x14ac:dyDescent="0.25">
      <c r="A90" s="96"/>
      <c r="B90" s="97"/>
      <c r="C90" s="97"/>
      <c r="D90" s="97"/>
      <c r="E90" s="97"/>
      <c r="F90" s="97"/>
      <c r="G90" s="97"/>
      <c r="H90" s="97"/>
      <c r="I90" s="97"/>
      <c r="J90" s="97"/>
      <c r="K90" s="97"/>
    </row>
    <row r="91" spans="1:11" s="76" customFormat="1" ht="15.75" customHeight="1" x14ac:dyDescent="0.25">
      <c r="A91" s="96"/>
      <c r="B91" s="97"/>
      <c r="C91" s="97"/>
      <c r="D91" s="97"/>
      <c r="E91" s="97"/>
      <c r="F91" s="97"/>
      <c r="G91" s="97"/>
      <c r="H91" s="97"/>
      <c r="I91" s="97"/>
      <c r="J91" s="97"/>
      <c r="K91" s="97"/>
    </row>
    <row r="92" spans="1:11" s="76" customFormat="1" ht="15.75" customHeight="1" x14ac:dyDescent="0.25">
      <c r="A92" s="96"/>
      <c r="B92" s="97"/>
      <c r="C92" s="97"/>
      <c r="D92" s="97"/>
      <c r="E92" s="97"/>
      <c r="F92" s="97"/>
      <c r="G92" s="97"/>
      <c r="H92" s="97"/>
      <c r="I92" s="97"/>
      <c r="J92" s="97"/>
      <c r="K92" s="97"/>
    </row>
    <row r="93" spans="1:11" s="76" customFormat="1" ht="15.75" customHeight="1" x14ac:dyDescent="0.25">
      <c r="A93" s="96"/>
      <c r="B93" s="97"/>
      <c r="C93" s="97"/>
      <c r="D93" s="97"/>
      <c r="E93" s="97"/>
      <c r="F93" s="97"/>
      <c r="G93" s="97"/>
      <c r="H93" s="97"/>
      <c r="I93" s="97"/>
      <c r="J93" s="97"/>
      <c r="K93" s="97"/>
    </row>
    <row r="94" spans="1:11" s="76" customFormat="1" ht="15.75" customHeight="1" x14ac:dyDescent="0.25">
      <c r="A94" s="96"/>
      <c r="B94" s="97"/>
      <c r="C94" s="97"/>
      <c r="D94" s="97"/>
      <c r="E94" s="97"/>
      <c r="F94" s="97"/>
      <c r="G94" s="97"/>
      <c r="H94" s="97"/>
      <c r="I94" s="97"/>
      <c r="J94" s="97"/>
      <c r="K94" s="97"/>
    </row>
    <row r="95" spans="1:11" s="76" customFormat="1" ht="15.75" customHeight="1" x14ac:dyDescent="0.25">
      <c r="A95" s="96"/>
      <c r="B95" s="97"/>
      <c r="C95" s="97"/>
      <c r="D95" s="97"/>
      <c r="E95" s="97"/>
      <c r="F95" s="97"/>
      <c r="G95" s="97"/>
      <c r="H95" s="97"/>
      <c r="I95" s="97"/>
      <c r="J95" s="97"/>
      <c r="K95" s="97"/>
    </row>
    <row r="96" spans="1:11" s="76" customFormat="1" ht="15.75" customHeight="1" x14ac:dyDescent="0.25">
      <c r="A96" s="96"/>
      <c r="B96" s="97"/>
      <c r="C96" s="97"/>
      <c r="D96" s="97"/>
      <c r="E96" s="97"/>
      <c r="F96" s="97"/>
      <c r="G96" s="97"/>
      <c r="H96" s="97"/>
      <c r="I96" s="97"/>
      <c r="J96" s="97"/>
      <c r="K96" s="97"/>
    </row>
    <row r="97" spans="1:11" s="76" customFormat="1" ht="15.75" customHeight="1" x14ac:dyDescent="0.25">
      <c r="A97" s="96"/>
      <c r="B97" s="97"/>
      <c r="C97" s="97"/>
      <c r="D97" s="97"/>
      <c r="E97" s="97"/>
      <c r="F97" s="97"/>
      <c r="G97" s="97"/>
      <c r="H97" s="97"/>
      <c r="I97" s="97"/>
      <c r="J97" s="97"/>
      <c r="K97" s="97"/>
    </row>
    <row r="98" spans="1:11" s="76" customFormat="1" ht="15.75" customHeight="1" x14ac:dyDescent="0.25">
      <c r="A98" s="96"/>
      <c r="B98" s="97"/>
      <c r="C98" s="97"/>
      <c r="D98" s="97"/>
      <c r="E98" s="97"/>
      <c r="F98" s="97"/>
      <c r="G98" s="97"/>
      <c r="H98" s="97"/>
      <c r="I98" s="97"/>
      <c r="J98" s="97"/>
      <c r="K98" s="97"/>
    </row>
    <row r="99" spans="1:11" s="76" customFormat="1" ht="15.75" customHeight="1" x14ac:dyDescent="0.25">
      <c r="A99" s="96"/>
      <c r="B99" s="97"/>
      <c r="C99" s="97"/>
      <c r="D99" s="97"/>
      <c r="E99" s="97"/>
      <c r="F99" s="97"/>
      <c r="G99" s="97"/>
      <c r="H99" s="97"/>
      <c r="I99" s="97"/>
      <c r="J99" s="97"/>
      <c r="K99" s="97"/>
    </row>
    <row r="100" spans="1:11" s="76" customFormat="1" ht="15.75" customHeight="1" x14ac:dyDescent="0.25">
      <c r="A100" s="96"/>
      <c r="B100" s="97"/>
      <c r="C100" s="97"/>
      <c r="D100" s="97"/>
      <c r="E100" s="97"/>
      <c r="F100" s="97"/>
      <c r="G100" s="97"/>
      <c r="H100" s="97"/>
      <c r="I100" s="97"/>
      <c r="J100" s="97"/>
      <c r="K100" s="97"/>
    </row>
    <row r="101" spans="1:11" s="76" customFormat="1" ht="15.75" customHeight="1" x14ac:dyDescent="0.25">
      <c r="A101" s="96"/>
      <c r="B101" s="97"/>
      <c r="C101" s="97"/>
      <c r="D101" s="97"/>
      <c r="E101" s="97"/>
      <c r="F101" s="97"/>
      <c r="G101" s="97"/>
      <c r="H101" s="97"/>
      <c r="I101" s="97"/>
      <c r="J101" s="97"/>
      <c r="K101" s="97"/>
    </row>
    <row r="102" spans="1:11" s="76" customFormat="1" ht="15.75" customHeight="1" x14ac:dyDescent="0.25">
      <c r="A102" s="96"/>
      <c r="B102" s="97"/>
      <c r="C102" s="97"/>
      <c r="D102" s="97"/>
      <c r="E102" s="97"/>
      <c r="F102" s="97"/>
      <c r="G102" s="97"/>
      <c r="H102" s="97"/>
      <c r="I102" s="97"/>
      <c r="J102" s="97"/>
      <c r="K102" s="97"/>
    </row>
    <row r="103" spans="1:11" s="76" customFormat="1" ht="15.75" customHeight="1" x14ac:dyDescent="0.25">
      <c r="A103" s="96"/>
      <c r="B103" s="97"/>
      <c r="C103" s="97"/>
      <c r="D103" s="97"/>
      <c r="E103" s="97"/>
      <c r="F103" s="97"/>
      <c r="G103" s="97"/>
      <c r="H103" s="97"/>
      <c r="I103" s="97"/>
      <c r="J103" s="97"/>
      <c r="K103" s="97"/>
    </row>
    <row r="104" spans="1:11" s="76" customFormat="1" ht="15.75" customHeight="1" x14ac:dyDescent="0.25">
      <c r="A104" s="96"/>
      <c r="B104" s="97"/>
      <c r="C104" s="97"/>
      <c r="D104" s="97"/>
      <c r="E104" s="97"/>
      <c r="F104" s="97"/>
      <c r="G104" s="97"/>
      <c r="H104" s="97"/>
      <c r="I104" s="97"/>
      <c r="J104" s="97"/>
      <c r="K104" s="97"/>
    </row>
    <row r="105" spans="1:11" s="76" customFormat="1" ht="15.75" customHeight="1" x14ac:dyDescent="0.25">
      <c r="A105" s="96"/>
      <c r="B105" s="97"/>
      <c r="C105" s="97"/>
      <c r="D105" s="97"/>
      <c r="E105" s="97"/>
      <c r="F105" s="97"/>
      <c r="G105" s="97"/>
      <c r="H105" s="97"/>
      <c r="I105" s="97"/>
      <c r="J105" s="97"/>
      <c r="K105" s="97"/>
    </row>
    <row r="106" spans="1:11" s="76" customFormat="1" ht="15.75" customHeight="1" x14ac:dyDescent="0.25">
      <c r="A106" s="96"/>
      <c r="B106" s="97"/>
      <c r="C106" s="97"/>
      <c r="D106" s="97"/>
      <c r="E106" s="97"/>
      <c r="F106" s="97"/>
      <c r="G106" s="97"/>
      <c r="H106" s="97"/>
      <c r="I106" s="97"/>
      <c r="J106" s="97"/>
      <c r="K106" s="97"/>
    </row>
    <row r="107" spans="1:11" s="76" customFormat="1" ht="15.75" customHeight="1" x14ac:dyDescent="0.25">
      <c r="A107" s="96"/>
      <c r="B107" s="97"/>
      <c r="C107" s="97"/>
      <c r="D107" s="97"/>
      <c r="E107" s="97"/>
      <c r="F107" s="97"/>
      <c r="G107" s="97"/>
      <c r="H107" s="97"/>
      <c r="I107" s="97"/>
      <c r="J107" s="97"/>
      <c r="K107" s="97"/>
    </row>
    <row r="108" spans="1:11" s="76" customFormat="1" ht="15.75" customHeight="1" x14ac:dyDescent="0.25">
      <c r="A108" s="96"/>
      <c r="B108" s="97"/>
      <c r="C108" s="97"/>
      <c r="D108" s="97"/>
      <c r="E108" s="97"/>
      <c r="F108" s="97"/>
      <c r="G108" s="97"/>
      <c r="H108" s="97"/>
      <c r="I108" s="97"/>
      <c r="J108" s="97"/>
      <c r="K108" s="97"/>
    </row>
    <row r="109" spans="1:11" s="76" customFormat="1" ht="15.75" customHeight="1" x14ac:dyDescent="0.25">
      <c r="A109" s="96"/>
      <c r="B109" s="97"/>
      <c r="C109" s="97"/>
      <c r="D109" s="97"/>
      <c r="E109" s="97"/>
      <c r="F109" s="97"/>
      <c r="G109" s="97"/>
      <c r="H109" s="97"/>
      <c r="I109" s="97"/>
      <c r="J109" s="97"/>
      <c r="K109" s="97"/>
    </row>
    <row r="110" spans="1:11" s="76" customFormat="1" ht="15.75" customHeight="1" x14ac:dyDescent="0.25">
      <c r="A110" s="96"/>
      <c r="B110" s="97"/>
      <c r="C110" s="97"/>
      <c r="D110" s="97"/>
      <c r="E110" s="97"/>
      <c r="F110" s="97"/>
      <c r="G110" s="97"/>
      <c r="H110" s="97"/>
      <c r="I110" s="97"/>
      <c r="J110" s="97"/>
      <c r="K110" s="97"/>
    </row>
    <row r="111" spans="1:11" s="76" customFormat="1" ht="15.75" customHeight="1" x14ac:dyDescent="0.25">
      <c r="A111" s="96"/>
      <c r="B111" s="97"/>
      <c r="C111" s="97"/>
      <c r="D111" s="97"/>
      <c r="E111" s="97"/>
      <c r="F111" s="97"/>
      <c r="G111" s="97"/>
      <c r="H111" s="97"/>
      <c r="I111" s="97"/>
      <c r="J111" s="97"/>
      <c r="K111" s="97"/>
    </row>
    <row r="112" spans="1:11" s="76" customFormat="1" ht="15.75" customHeight="1" x14ac:dyDescent="0.25">
      <c r="A112" s="96"/>
      <c r="B112" s="97"/>
      <c r="C112" s="97"/>
      <c r="D112" s="97"/>
      <c r="E112" s="97"/>
      <c r="F112" s="97"/>
      <c r="G112" s="97"/>
      <c r="H112" s="97"/>
      <c r="I112" s="97"/>
      <c r="J112" s="97"/>
      <c r="K112" s="97"/>
    </row>
    <row r="113" spans="1:11" s="76" customFormat="1" ht="15.75" customHeight="1" x14ac:dyDescent="0.25">
      <c r="A113" s="96"/>
      <c r="B113" s="97"/>
      <c r="C113" s="97"/>
      <c r="D113" s="97"/>
      <c r="E113" s="97"/>
      <c r="F113" s="97"/>
      <c r="G113" s="97"/>
      <c r="H113" s="97"/>
      <c r="I113" s="97"/>
      <c r="J113" s="97"/>
      <c r="K113" s="97"/>
    </row>
    <row r="114" spans="1:11" s="76" customFormat="1" ht="15.75" customHeight="1" x14ac:dyDescent="0.25">
      <c r="A114" s="96"/>
      <c r="B114" s="97"/>
      <c r="C114" s="97"/>
      <c r="D114" s="97"/>
      <c r="E114" s="97"/>
      <c r="F114" s="97"/>
      <c r="G114" s="97"/>
      <c r="H114" s="97"/>
      <c r="I114" s="97"/>
      <c r="J114" s="97"/>
      <c r="K114" s="97"/>
    </row>
    <row r="115" spans="1:11" s="76" customFormat="1" ht="15.75" customHeight="1" x14ac:dyDescent="0.25">
      <c r="A115" s="96"/>
      <c r="B115" s="97"/>
      <c r="C115" s="97"/>
      <c r="D115" s="97"/>
      <c r="E115" s="97"/>
      <c r="F115" s="97"/>
      <c r="G115" s="97"/>
      <c r="H115" s="97"/>
      <c r="I115" s="97"/>
      <c r="J115" s="97"/>
      <c r="K115" s="97"/>
    </row>
    <row r="116" spans="1:11" s="76" customFormat="1" ht="15.75" customHeight="1" x14ac:dyDescent="0.25">
      <c r="A116" s="96"/>
      <c r="B116" s="97"/>
      <c r="C116" s="97"/>
      <c r="D116" s="97"/>
      <c r="E116" s="97"/>
      <c r="F116" s="97"/>
      <c r="G116" s="97"/>
      <c r="H116" s="97"/>
      <c r="I116" s="97"/>
      <c r="J116" s="97"/>
      <c r="K116" s="97"/>
    </row>
    <row r="117" spans="1:11" s="76" customFormat="1" ht="15.75" customHeight="1" x14ac:dyDescent="0.25">
      <c r="A117" s="96"/>
      <c r="B117" s="97"/>
      <c r="C117" s="97"/>
      <c r="D117" s="97"/>
      <c r="E117" s="97"/>
      <c r="F117" s="97"/>
      <c r="G117" s="97"/>
      <c r="H117" s="97"/>
      <c r="I117" s="97"/>
      <c r="J117" s="97"/>
      <c r="K117" s="97"/>
    </row>
    <row r="118" spans="1:11" s="76" customFormat="1" ht="15.75" customHeight="1" x14ac:dyDescent="0.25">
      <c r="A118" s="96"/>
      <c r="B118" s="97"/>
      <c r="C118" s="97"/>
      <c r="D118" s="97"/>
      <c r="E118" s="97"/>
      <c r="F118" s="97"/>
      <c r="G118" s="97"/>
      <c r="H118" s="97"/>
      <c r="I118" s="97"/>
      <c r="J118" s="97"/>
      <c r="K118" s="97"/>
    </row>
    <row r="119" spans="1:11" s="76" customFormat="1" ht="15.75" customHeight="1" x14ac:dyDescent="0.25">
      <c r="A119" s="96"/>
      <c r="B119" s="97"/>
      <c r="C119" s="97"/>
      <c r="D119" s="97"/>
      <c r="E119" s="97"/>
      <c r="F119" s="97"/>
      <c r="G119" s="97"/>
      <c r="H119" s="97"/>
      <c r="I119" s="97"/>
      <c r="J119" s="97"/>
      <c r="K119" s="97"/>
    </row>
    <row r="120" spans="1:11" s="76" customFormat="1" ht="15.75" customHeight="1" x14ac:dyDescent="0.25">
      <c r="A120" s="96"/>
      <c r="B120" s="97"/>
      <c r="C120" s="97"/>
      <c r="D120" s="97"/>
      <c r="E120" s="97"/>
      <c r="F120" s="97"/>
      <c r="G120" s="97"/>
      <c r="H120" s="97"/>
      <c r="I120" s="97"/>
      <c r="J120" s="97"/>
      <c r="K120" s="97"/>
    </row>
    <row r="121" spans="1:11" s="76" customFormat="1" ht="15.75" customHeight="1" x14ac:dyDescent="0.25">
      <c r="A121" s="96"/>
      <c r="B121" s="97"/>
      <c r="C121" s="97"/>
      <c r="D121" s="97"/>
      <c r="E121" s="97"/>
      <c r="F121" s="97"/>
      <c r="G121" s="97"/>
      <c r="H121" s="97"/>
      <c r="I121" s="97"/>
      <c r="J121" s="97"/>
      <c r="K121" s="97"/>
    </row>
    <row r="122" spans="1:11" s="76" customFormat="1" ht="15.75" customHeight="1" x14ac:dyDescent="0.25">
      <c r="A122" s="96"/>
      <c r="B122" s="97"/>
      <c r="C122" s="97"/>
      <c r="D122" s="97"/>
      <c r="E122" s="97"/>
      <c r="F122" s="97"/>
      <c r="G122" s="97"/>
      <c r="H122" s="97"/>
      <c r="I122" s="97"/>
      <c r="J122" s="97"/>
      <c r="K122" s="97"/>
    </row>
    <row r="123" spans="1:11" s="76" customFormat="1" ht="15.75" customHeight="1" x14ac:dyDescent="0.25">
      <c r="A123" s="96"/>
      <c r="B123" s="97"/>
      <c r="C123" s="97"/>
      <c r="D123" s="97"/>
      <c r="E123" s="97"/>
      <c r="F123" s="97"/>
      <c r="G123" s="97"/>
      <c r="H123" s="97"/>
      <c r="I123" s="97"/>
      <c r="J123" s="97"/>
      <c r="K123" s="97"/>
    </row>
    <row r="124" spans="1:11" s="76" customFormat="1" ht="15.75" customHeight="1" x14ac:dyDescent="0.25">
      <c r="A124" s="96"/>
      <c r="B124" s="97"/>
      <c r="C124" s="97"/>
      <c r="D124" s="97"/>
      <c r="E124" s="97"/>
      <c r="F124" s="97"/>
      <c r="G124" s="97"/>
      <c r="H124" s="97"/>
      <c r="I124" s="97"/>
      <c r="J124" s="97"/>
      <c r="K124" s="97"/>
    </row>
    <row r="125" spans="1:11" s="76" customFormat="1" ht="15.75" customHeight="1" x14ac:dyDescent="0.25">
      <c r="A125" s="96"/>
      <c r="B125" s="97"/>
      <c r="C125" s="97"/>
      <c r="D125" s="97"/>
      <c r="E125" s="97"/>
      <c r="F125" s="97"/>
      <c r="G125" s="97"/>
      <c r="H125" s="97"/>
      <c r="I125" s="97"/>
      <c r="J125" s="97"/>
      <c r="K125" s="97"/>
    </row>
    <row r="126" spans="1:11" s="76" customFormat="1" ht="15.75" customHeight="1" x14ac:dyDescent="0.25">
      <c r="A126" s="96"/>
      <c r="B126" s="97"/>
      <c r="C126" s="97"/>
      <c r="D126" s="97"/>
      <c r="E126" s="97"/>
      <c r="F126" s="97"/>
      <c r="G126" s="97"/>
      <c r="H126" s="97"/>
      <c r="I126" s="97"/>
      <c r="J126" s="97"/>
      <c r="K126" s="97"/>
    </row>
    <row r="127" spans="1:11" s="76" customFormat="1" ht="15.75" customHeight="1" x14ac:dyDescent="0.25">
      <c r="A127" s="96"/>
      <c r="B127" s="97"/>
      <c r="C127" s="97"/>
      <c r="D127" s="97"/>
      <c r="E127" s="97"/>
      <c r="F127" s="97"/>
      <c r="G127" s="97"/>
      <c r="H127" s="97"/>
      <c r="I127" s="97"/>
      <c r="J127" s="97"/>
      <c r="K127" s="97"/>
    </row>
    <row r="128" spans="1:11" s="76" customFormat="1" ht="15.75" customHeight="1" x14ac:dyDescent="0.25">
      <c r="A128" s="96"/>
      <c r="B128" s="97"/>
      <c r="C128" s="97"/>
      <c r="D128" s="97"/>
      <c r="E128" s="97"/>
      <c r="F128" s="97"/>
      <c r="G128" s="97"/>
      <c r="H128" s="97"/>
      <c r="I128" s="97"/>
      <c r="J128" s="97"/>
      <c r="K128" s="97"/>
    </row>
    <row r="129" spans="1:11" s="76" customFormat="1" ht="15.75" customHeight="1" x14ac:dyDescent="0.25">
      <c r="A129" s="96"/>
      <c r="B129" s="97"/>
      <c r="C129" s="97"/>
      <c r="D129" s="97"/>
      <c r="E129" s="97"/>
      <c r="F129" s="97"/>
      <c r="G129" s="97"/>
      <c r="H129" s="97"/>
      <c r="I129" s="97"/>
      <c r="J129" s="97"/>
      <c r="K129" s="97"/>
    </row>
    <row r="130" spans="1:11" s="76" customFormat="1" ht="15.75" customHeight="1" x14ac:dyDescent="0.25">
      <c r="A130" s="96"/>
      <c r="B130" s="97"/>
      <c r="C130" s="97"/>
      <c r="D130" s="97"/>
      <c r="E130" s="97"/>
      <c r="F130" s="97"/>
      <c r="G130" s="97"/>
      <c r="H130" s="97"/>
      <c r="I130" s="97"/>
      <c r="J130" s="97"/>
      <c r="K130" s="97"/>
    </row>
    <row r="131" spans="1:11" s="76" customFormat="1" ht="15.75" customHeight="1" x14ac:dyDescent="0.25">
      <c r="A131" s="96"/>
      <c r="B131" s="97"/>
      <c r="C131" s="97"/>
      <c r="D131" s="97"/>
      <c r="E131" s="97"/>
      <c r="F131" s="97"/>
      <c r="G131" s="97"/>
      <c r="H131" s="97"/>
      <c r="I131" s="97"/>
      <c r="J131" s="97"/>
      <c r="K131" s="97"/>
    </row>
    <row r="132" spans="1:11" s="76" customFormat="1" ht="15.75" customHeight="1" x14ac:dyDescent="0.25">
      <c r="A132" s="96"/>
      <c r="B132" s="97"/>
      <c r="C132" s="97"/>
      <c r="D132" s="97"/>
      <c r="E132" s="97"/>
      <c r="F132" s="97"/>
      <c r="G132" s="97"/>
      <c r="H132" s="97"/>
      <c r="I132" s="97"/>
      <c r="J132" s="97"/>
      <c r="K132" s="97"/>
    </row>
    <row r="133" spans="1:11" s="76" customFormat="1" ht="15.75" customHeight="1" x14ac:dyDescent="0.25">
      <c r="A133" s="96"/>
      <c r="B133" s="97"/>
      <c r="C133" s="97"/>
      <c r="D133" s="97"/>
      <c r="E133" s="97"/>
      <c r="F133" s="97"/>
      <c r="G133" s="97"/>
      <c r="H133" s="97"/>
      <c r="I133" s="97"/>
      <c r="J133" s="97"/>
      <c r="K133" s="97"/>
    </row>
    <row r="134" spans="1:11" s="76" customFormat="1" ht="15.75" customHeight="1" x14ac:dyDescent="0.25">
      <c r="A134" s="96"/>
      <c r="B134" s="97"/>
      <c r="C134" s="97"/>
      <c r="D134" s="97"/>
      <c r="E134" s="97"/>
      <c r="F134" s="97"/>
      <c r="G134" s="97"/>
      <c r="H134" s="97"/>
      <c r="I134" s="97"/>
      <c r="J134" s="97"/>
      <c r="K134" s="97"/>
    </row>
    <row r="135" spans="1:11" s="76" customFormat="1" ht="15.75" customHeight="1" x14ac:dyDescent="0.25">
      <c r="A135" s="96"/>
      <c r="B135" s="97"/>
      <c r="C135" s="97"/>
      <c r="D135" s="97"/>
      <c r="E135" s="97"/>
      <c r="F135" s="97"/>
      <c r="G135" s="97"/>
      <c r="H135" s="97"/>
      <c r="I135" s="97"/>
      <c r="J135" s="97"/>
      <c r="K135" s="97"/>
    </row>
    <row r="136" spans="1:11" s="76" customFormat="1" ht="15.75" customHeight="1" x14ac:dyDescent="0.25">
      <c r="A136" s="96"/>
      <c r="B136" s="97"/>
      <c r="C136" s="97"/>
      <c r="D136" s="97"/>
      <c r="E136" s="97"/>
      <c r="F136" s="97"/>
      <c r="G136" s="97"/>
      <c r="H136" s="97"/>
      <c r="I136" s="97"/>
      <c r="J136" s="97"/>
      <c r="K136" s="97"/>
    </row>
    <row r="137" spans="1:11" s="76" customFormat="1" ht="15.75" customHeight="1" x14ac:dyDescent="0.25">
      <c r="A137" s="96"/>
      <c r="B137" s="97"/>
      <c r="C137" s="97"/>
      <c r="D137" s="97"/>
      <c r="E137" s="97"/>
      <c r="F137" s="97"/>
      <c r="G137" s="97"/>
      <c r="H137" s="97"/>
      <c r="I137" s="97"/>
      <c r="J137" s="97"/>
      <c r="K137" s="97"/>
    </row>
    <row r="138" spans="1:11" s="76" customFormat="1" ht="15.75" customHeight="1" x14ac:dyDescent="0.25">
      <c r="A138" s="96"/>
      <c r="B138" s="97"/>
      <c r="C138" s="97"/>
      <c r="D138" s="97"/>
      <c r="E138" s="97"/>
      <c r="F138" s="97"/>
      <c r="G138" s="97"/>
      <c r="H138" s="97"/>
      <c r="I138" s="97"/>
      <c r="J138" s="97"/>
      <c r="K138" s="97"/>
    </row>
    <row r="139" spans="1:11" s="76" customFormat="1" ht="15.75" customHeight="1" x14ac:dyDescent="0.25">
      <c r="A139" s="96"/>
      <c r="B139" s="97"/>
      <c r="C139" s="97"/>
      <c r="D139" s="97"/>
      <c r="E139" s="97"/>
      <c r="F139" s="97"/>
      <c r="G139" s="97"/>
      <c r="H139" s="97"/>
      <c r="I139" s="97"/>
      <c r="J139" s="97"/>
      <c r="K139" s="97"/>
    </row>
    <row r="140" spans="1:11" s="76" customFormat="1" ht="15.75" customHeight="1" x14ac:dyDescent="0.25">
      <c r="A140" s="96"/>
      <c r="B140" s="97"/>
      <c r="C140" s="97"/>
      <c r="D140" s="97"/>
      <c r="E140" s="97"/>
      <c r="F140" s="97"/>
      <c r="G140" s="97"/>
      <c r="H140" s="97"/>
      <c r="I140" s="97"/>
      <c r="J140" s="97"/>
      <c r="K140" s="97"/>
    </row>
    <row r="141" spans="1:11" s="76" customFormat="1" ht="15.75" customHeight="1" x14ac:dyDescent="0.25">
      <c r="A141" s="96"/>
    </row>
    <row r="142" spans="1:11" s="76" customFormat="1" ht="15.75" customHeight="1" x14ac:dyDescent="0.25">
      <c r="A142" s="96"/>
    </row>
    <row r="143" spans="1:11" s="76" customFormat="1" ht="15.75" customHeight="1" x14ac:dyDescent="0.25">
      <c r="A143" s="96"/>
    </row>
    <row r="144" spans="1:11" s="76" customFormat="1" ht="15.75" customHeight="1" x14ac:dyDescent="0.25">
      <c r="A144" s="96"/>
    </row>
    <row r="145" spans="1:1" s="76" customFormat="1" ht="15.75" customHeight="1" x14ac:dyDescent="0.25">
      <c r="A145" s="96"/>
    </row>
    <row r="146" spans="1:1" s="76" customFormat="1" ht="15.75" customHeight="1" x14ac:dyDescent="0.25">
      <c r="A146" s="96"/>
    </row>
    <row r="147" spans="1:1" s="76" customFormat="1" ht="15.75" customHeight="1" x14ac:dyDescent="0.25">
      <c r="A147" s="96"/>
    </row>
    <row r="148" spans="1:1" s="76" customFormat="1" ht="15.75" customHeight="1" x14ac:dyDescent="0.25">
      <c r="A148" s="96"/>
    </row>
    <row r="149" spans="1:1" s="76" customFormat="1" ht="15.75" customHeight="1" x14ac:dyDescent="0.25">
      <c r="A149" s="96"/>
    </row>
    <row r="150" spans="1:1" s="76" customFormat="1" ht="15.75" customHeight="1" x14ac:dyDescent="0.25">
      <c r="A150" s="96"/>
    </row>
    <row r="151" spans="1:1" s="76" customFormat="1" ht="15.75" customHeight="1" x14ac:dyDescent="0.25">
      <c r="A151" s="96"/>
    </row>
    <row r="152" spans="1:1" s="76" customFormat="1" ht="15.75" customHeight="1" x14ac:dyDescent="0.25">
      <c r="A152" s="96"/>
    </row>
    <row r="153" spans="1:1" s="76" customFormat="1" ht="15.75" customHeight="1" x14ac:dyDescent="0.25">
      <c r="A153" s="96"/>
    </row>
    <row r="154" spans="1:1" s="76" customFormat="1" ht="15.75" customHeight="1" x14ac:dyDescent="0.25">
      <c r="A154" s="96"/>
    </row>
    <row r="155" spans="1:1" s="76" customFormat="1" ht="15.75" customHeight="1" x14ac:dyDescent="0.25">
      <c r="A155" s="96"/>
    </row>
    <row r="156" spans="1:1" s="76" customFormat="1" ht="15.75" customHeight="1" x14ac:dyDescent="0.25">
      <c r="A156" s="96"/>
    </row>
    <row r="157" spans="1:1" s="76" customFormat="1" ht="15.75" customHeight="1" x14ac:dyDescent="0.25">
      <c r="A157" s="96"/>
    </row>
    <row r="158" spans="1:1" s="76" customFormat="1" ht="15.75" customHeight="1" x14ac:dyDescent="0.25">
      <c r="A158" s="96"/>
    </row>
    <row r="159" spans="1:1" s="76" customFormat="1" ht="15.75" customHeight="1" x14ac:dyDescent="0.25">
      <c r="A159" s="96"/>
    </row>
    <row r="160" spans="1:1" s="76" customFormat="1" ht="15.75" customHeight="1" x14ac:dyDescent="0.25">
      <c r="A160" s="96"/>
    </row>
    <row r="161" spans="1:1" s="76" customFormat="1" ht="15.75" customHeight="1" x14ac:dyDescent="0.25">
      <c r="A161" s="96"/>
    </row>
    <row r="162" spans="1:1" s="76" customFormat="1" ht="15.75" customHeight="1" x14ac:dyDescent="0.25">
      <c r="A162" s="96"/>
    </row>
    <row r="163" spans="1:1" s="76" customFormat="1" ht="15.75" customHeight="1" x14ac:dyDescent="0.25">
      <c r="A163" s="96"/>
    </row>
    <row r="164" spans="1:1" s="76" customFormat="1" ht="15.75" customHeight="1" x14ac:dyDescent="0.25">
      <c r="A164" s="96"/>
    </row>
    <row r="165" spans="1:1" s="76" customFormat="1" ht="15.75" customHeight="1" x14ac:dyDescent="0.25">
      <c r="A165" s="96"/>
    </row>
    <row r="166" spans="1:1" s="76" customFormat="1" ht="15.75" customHeight="1" x14ac:dyDescent="0.25">
      <c r="A166" s="96"/>
    </row>
    <row r="167" spans="1:1" s="76" customFormat="1" ht="15.75" customHeight="1" x14ac:dyDescent="0.25">
      <c r="A167" s="96"/>
    </row>
    <row r="168" spans="1:1" s="76" customFormat="1" ht="15.75" customHeight="1" x14ac:dyDescent="0.25">
      <c r="A168" s="96"/>
    </row>
    <row r="169" spans="1:1" s="76" customFormat="1" ht="15.75" customHeight="1" x14ac:dyDescent="0.25">
      <c r="A169" s="96"/>
    </row>
    <row r="170" spans="1:1" s="76" customFormat="1" ht="15.75" customHeight="1" x14ac:dyDescent="0.25">
      <c r="A170" s="96"/>
    </row>
    <row r="171" spans="1:1" s="76" customFormat="1" ht="15.75" customHeight="1" x14ac:dyDescent="0.25">
      <c r="A171" s="96"/>
    </row>
    <row r="172" spans="1:1" s="76" customFormat="1" ht="15.75" customHeight="1" x14ac:dyDescent="0.25">
      <c r="A172" s="96"/>
    </row>
    <row r="173" spans="1:1" s="76" customFormat="1" ht="15.75" customHeight="1" x14ac:dyDescent="0.25">
      <c r="A173" s="96"/>
    </row>
    <row r="174" spans="1:1" s="76" customFormat="1" ht="15.75" customHeight="1" x14ac:dyDescent="0.25">
      <c r="A174" s="96"/>
    </row>
    <row r="175" spans="1:1" s="76" customFormat="1" ht="15.75" customHeight="1" x14ac:dyDescent="0.25">
      <c r="A175" s="96"/>
    </row>
    <row r="176" spans="1:1" s="76" customFormat="1" ht="15.75" customHeight="1" x14ac:dyDescent="0.25">
      <c r="A176" s="96"/>
    </row>
    <row r="177" spans="1:1" s="76" customFormat="1" ht="15.75" customHeight="1" x14ac:dyDescent="0.25">
      <c r="A177" s="96"/>
    </row>
    <row r="178" spans="1:1" s="76" customFormat="1" ht="15.75" customHeight="1" x14ac:dyDescent="0.25">
      <c r="A178" s="96"/>
    </row>
    <row r="179" spans="1:1" s="76" customFormat="1" ht="15.75" customHeight="1" x14ac:dyDescent="0.25">
      <c r="A179" s="96"/>
    </row>
    <row r="180" spans="1:1" s="76" customFormat="1" ht="15.75" customHeight="1" x14ac:dyDescent="0.25">
      <c r="A180" s="96"/>
    </row>
    <row r="181" spans="1:1" s="76" customFormat="1" ht="15.75" customHeight="1" x14ac:dyDescent="0.25">
      <c r="A181" s="96"/>
    </row>
    <row r="182" spans="1:1" s="76" customFormat="1" ht="15.75" customHeight="1" x14ac:dyDescent="0.25">
      <c r="A182" s="96"/>
    </row>
    <row r="183" spans="1:1" s="76" customFormat="1" ht="15.75" customHeight="1" x14ac:dyDescent="0.25">
      <c r="A183" s="96"/>
    </row>
    <row r="184" spans="1:1" s="76" customFormat="1" ht="15.75" customHeight="1" x14ac:dyDescent="0.25">
      <c r="A184" s="96"/>
    </row>
    <row r="185" spans="1:1" s="76" customFormat="1" ht="15.75" customHeight="1" x14ac:dyDescent="0.25">
      <c r="A185" s="96"/>
    </row>
    <row r="186" spans="1:1" s="76" customFormat="1" ht="15.75" customHeight="1" x14ac:dyDescent="0.25">
      <c r="A186" s="96"/>
    </row>
    <row r="187" spans="1:1" s="76" customFormat="1" ht="15.75" customHeight="1" x14ac:dyDescent="0.25">
      <c r="A187" s="96"/>
    </row>
    <row r="188" spans="1:1" s="76" customFormat="1" ht="15.75" customHeight="1" x14ac:dyDescent="0.25">
      <c r="A188" s="96"/>
    </row>
    <row r="189" spans="1:1" s="76" customFormat="1" ht="15.75" customHeight="1" x14ac:dyDescent="0.25">
      <c r="A189" s="96"/>
    </row>
    <row r="190" spans="1:1" s="76" customFormat="1" ht="15.75" customHeight="1" x14ac:dyDescent="0.25">
      <c r="A190" s="96"/>
    </row>
    <row r="191" spans="1:1" s="76" customFormat="1" ht="15.75" customHeight="1" x14ac:dyDescent="0.25">
      <c r="A191" s="96"/>
    </row>
    <row r="192" spans="1:1" s="76" customFormat="1" ht="15.75" customHeight="1" x14ac:dyDescent="0.25">
      <c r="A192" s="96"/>
    </row>
    <row r="193" spans="1:1" s="76" customFormat="1" ht="15.75" customHeight="1" x14ac:dyDescent="0.25">
      <c r="A193" s="96"/>
    </row>
    <row r="194" spans="1:1" s="76" customFormat="1" ht="15.75" customHeight="1" x14ac:dyDescent="0.25">
      <c r="A194" s="96"/>
    </row>
    <row r="195" spans="1:1" s="76" customFormat="1" ht="15.75" customHeight="1" x14ac:dyDescent="0.25">
      <c r="A195" s="96"/>
    </row>
    <row r="196" spans="1:1" s="76" customFormat="1" ht="15.75" customHeight="1" x14ac:dyDescent="0.25">
      <c r="A196" s="96"/>
    </row>
    <row r="197" spans="1:1" s="76" customFormat="1" ht="15.75" customHeight="1" x14ac:dyDescent="0.25">
      <c r="A197" s="96"/>
    </row>
    <row r="198" spans="1:1" s="76" customFormat="1" ht="15.75" customHeight="1" x14ac:dyDescent="0.25">
      <c r="A198" s="96"/>
    </row>
    <row r="199" spans="1:1" s="76" customFormat="1" ht="15.75" customHeight="1" x14ac:dyDescent="0.25">
      <c r="A199" s="96"/>
    </row>
    <row r="200" spans="1:1" s="76" customFormat="1" ht="15.75" customHeight="1" x14ac:dyDescent="0.25">
      <c r="A200" s="96"/>
    </row>
    <row r="201" spans="1:1" s="76" customFormat="1" ht="15.75" customHeight="1" x14ac:dyDescent="0.25">
      <c r="A201" s="96"/>
    </row>
    <row r="202" spans="1:1" s="76" customFormat="1" ht="15.75" customHeight="1" x14ac:dyDescent="0.25">
      <c r="A202" s="96"/>
    </row>
    <row r="203" spans="1:1" s="76" customFormat="1" ht="15.75" customHeight="1" x14ac:dyDescent="0.25">
      <c r="A203" s="96"/>
    </row>
    <row r="204" spans="1:1" s="76" customFormat="1" ht="15.75" customHeight="1" x14ac:dyDescent="0.25">
      <c r="A204" s="96"/>
    </row>
    <row r="205" spans="1:1" s="76" customFormat="1" ht="15.75" customHeight="1" x14ac:dyDescent="0.25">
      <c r="A205" s="96"/>
    </row>
    <row r="206" spans="1:1" s="76" customFormat="1" ht="15.75" customHeight="1" x14ac:dyDescent="0.25">
      <c r="A206" s="96"/>
    </row>
    <row r="207" spans="1:1" s="76" customFormat="1" ht="15.75" customHeight="1" x14ac:dyDescent="0.25">
      <c r="A207" s="96"/>
    </row>
    <row r="208" spans="1:1" s="76" customFormat="1" ht="15.75" customHeight="1" x14ac:dyDescent="0.25">
      <c r="A208" s="96"/>
    </row>
    <row r="209" spans="1:1" s="76" customFormat="1" ht="15.75" customHeight="1" x14ac:dyDescent="0.25">
      <c r="A209" s="96"/>
    </row>
    <row r="210" spans="1:1" s="76" customFormat="1" ht="15.75" customHeight="1" x14ac:dyDescent="0.25">
      <c r="A210" s="96"/>
    </row>
    <row r="211" spans="1:1" s="76" customFormat="1" ht="15.75" customHeight="1" x14ac:dyDescent="0.25">
      <c r="A211" s="96"/>
    </row>
    <row r="212" spans="1:1" s="76" customFormat="1" ht="15.75" customHeight="1" x14ac:dyDescent="0.25">
      <c r="A212" s="96"/>
    </row>
    <row r="213" spans="1:1" s="76" customFormat="1" ht="15.75" customHeight="1" x14ac:dyDescent="0.25">
      <c r="A213" s="96"/>
    </row>
    <row r="214" spans="1:1" s="76" customFormat="1" ht="15.75" customHeight="1" x14ac:dyDescent="0.25">
      <c r="A214" s="96"/>
    </row>
    <row r="215" spans="1:1" s="76" customFormat="1" ht="15.75" customHeight="1" x14ac:dyDescent="0.25">
      <c r="A215" s="96"/>
    </row>
    <row r="216" spans="1:1" s="76" customFormat="1" ht="15.75" customHeight="1" x14ac:dyDescent="0.25">
      <c r="A216" s="96"/>
    </row>
    <row r="217" spans="1:1" s="76" customFormat="1" ht="15.75" customHeight="1" x14ac:dyDescent="0.25">
      <c r="A217" s="96"/>
    </row>
    <row r="218" spans="1:1" s="76" customFormat="1" ht="15.75" customHeight="1" x14ac:dyDescent="0.25">
      <c r="A218" s="96"/>
    </row>
    <row r="219" spans="1:1" s="76" customFormat="1" ht="15.75" customHeight="1" x14ac:dyDescent="0.25">
      <c r="A219" s="96"/>
    </row>
    <row r="220" spans="1:1" s="76" customFormat="1" ht="15.75" customHeight="1" x14ac:dyDescent="0.25">
      <c r="A220" s="96"/>
    </row>
    <row r="221" spans="1:1" s="76" customFormat="1" ht="15.75" customHeight="1" x14ac:dyDescent="0.25">
      <c r="A221" s="96"/>
    </row>
    <row r="222" spans="1:1" s="76" customFormat="1" ht="15.75" customHeight="1" x14ac:dyDescent="0.25">
      <c r="A222" s="96"/>
    </row>
    <row r="223" spans="1:1" s="76" customFormat="1" ht="15.75" customHeight="1" x14ac:dyDescent="0.25">
      <c r="A223" s="96"/>
    </row>
    <row r="224" spans="1:1" s="76" customFormat="1" ht="15.75" customHeight="1" x14ac:dyDescent="0.25">
      <c r="A224" s="96"/>
    </row>
    <row r="225" spans="1:1" s="76" customFormat="1" ht="15.75" customHeight="1" x14ac:dyDescent="0.25">
      <c r="A225" s="96"/>
    </row>
    <row r="226" spans="1:1" s="76" customFormat="1" ht="15.75" customHeight="1" x14ac:dyDescent="0.25">
      <c r="A226" s="96"/>
    </row>
    <row r="227" spans="1:1" s="76" customFormat="1" ht="15.75" customHeight="1" x14ac:dyDescent="0.25">
      <c r="A227" s="96"/>
    </row>
    <row r="228" spans="1:1" s="76" customFormat="1" ht="15.75" customHeight="1" x14ac:dyDescent="0.25">
      <c r="A228" s="96"/>
    </row>
    <row r="229" spans="1:1" s="76" customFormat="1" ht="15.75" customHeight="1" x14ac:dyDescent="0.25">
      <c r="A229" s="96"/>
    </row>
    <row r="230" spans="1:1" s="76" customFormat="1" ht="15.75" customHeight="1" x14ac:dyDescent="0.25">
      <c r="A230" s="96"/>
    </row>
    <row r="231" spans="1:1" s="76" customFormat="1" ht="15.75" customHeight="1" x14ac:dyDescent="0.25">
      <c r="A231" s="96"/>
    </row>
    <row r="232" spans="1:1" s="76" customFormat="1" ht="15.75" customHeight="1" x14ac:dyDescent="0.25">
      <c r="A232" s="96"/>
    </row>
    <row r="233" spans="1:1" s="76" customFormat="1" ht="15.75" customHeight="1" x14ac:dyDescent="0.25">
      <c r="A233" s="96"/>
    </row>
    <row r="234" spans="1:1" s="76" customFormat="1" ht="15.75" customHeight="1" x14ac:dyDescent="0.25">
      <c r="A234" s="96"/>
    </row>
    <row r="235" spans="1:1" s="76" customFormat="1" ht="15.75" customHeight="1" x14ac:dyDescent="0.25">
      <c r="A235" s="96"/>
    </row>
    <row r="236" spans="1:1" s="76" customFormat="1" ht="15.75" customHeight="1" x14ac:dyDescent="0.25">
      <c r="A236" s="96"/>
    </row>
    <row r="237" spans="1:1" s="76" customFormat="1" ht="15.75" customHeight="1" x14ac:dyDescent="0.25">
      <c r="A237" s="96"/>
    </row>
    <row r="238" spans="1:1" s="76" customFormat="1" ht="15.75" customHeight="1" x14ac:dyDescent="0.25">
      <c r="A238" s="96"/>
    </row>
    <row r="239" spans="1:1" s="76" customFormat="1" ht="15.75" customHeight="1" x14ac:dyDescent="0.25">
      <c r="A239" s="96"/>
    </row>
    <row r="240" spans="1:1" s="76" customFormat="1" ht="15.75" customHeight="1" x14ac:dyDescent="0.25">
      <c r="A240" s="96"/>
    </row>
    <row r="241" spans="1:1" s="76" customFormat="1" ht="15.75" customHeight="1" x14ac:dyDescent="0.25">
      <c r="A241" s="96"/>
    </row>
    <row r="242" spans="1:1" s="76" customFormat="1" ht="15.75" customHeight="1" x14ac:dyDescent="0.25">
      <c r="A242" s="96"/>
    </row>
    <row r="243" spans="1:1" s="76" customFormat="1" ht="15.75" customHeight="1" x14ac:dyDescent="0.25">
      <c r="A243" s="96"/>
    </row>
    <row r="244" spans="1:1" s="76" customFormat="1" ht="15.75" customHeight="1" x14ac:dyDescent="0.25">
      <c r="A244" s="96"/>
    </row>
    <row r="245" spans="1:1" s="76" customFormat="1" ht="15.75" customHeight="1" x14ac:dyDescent="0.25">
      <c r="A245" s="96"/>
    </row>
    <row r="246" spans="1:1" s="76" customFormat="1" ht="15.75" customHeight="1" x14ac:dyDescent="0.25">
      <c r="A246" s="96"/>
    </row>
    <row r="247" spans="1:1" s="76" customFormat="1" ht="15.75" customHeight="1" x14ac:dyDescent="0.25">
      <c r="A247" s="96"/>
    </row>
    <row r="248" spans="1:1" s="76" customFormat="1" ht="15.75" customHeight="1" x14ac:dyDescent="0.25">
      <c r="A248" s="96"/>
    </row>
    <row r="249" spans="1:1" s="76" customFormat="1" ht="15.75" customHeight="1" x14ac:dyDescent="0.25">
      <c r="A249" s="96"/>
    </row>
    <row r="250" spans="1:1" s="76" customFormat="1" ht="15.75" customHeight="1" x14ac:dyDescent="0.25">
      <c r="A250" s="96"/>
    </row>
    <row r="251" spans="1:1" s="76" customFormat="1" ht="15.75" customHeight="1" x14ac:dyDescent="0.25">
      <c r="A251" s="96"/>
    </row>
    <row r="252" spans="1:1" s="76" customFormat="1" ht="15.75" customHeight="1" x14ac:dyDescent="0.25">
      <c r="A252" s="96"/>
    </row>
    <row r="253" spans="1:1" ht="15.75" customHeight="1" x14ac:dyDescent="0.25">
      <c r="A253" s="39"/>
    </row>
    <row r="254" spans="1:1" ht="15.75" customHeight="1" x14ac:dyDescent="0.25">
      <c r="A254" s="39"/>
    </row>
    <row r="255" spans="1:1" ht="15.75" customHeight="1" x14ac:dyDescent="0.25">
      <c r="A255" s="39"/>
    </row>
    <row r="256" spans="1:1" ht="15.75" customHeight="1" x14ac:dyDescent="0.25">
      <c r="A256" s="39"/>
    </row>
    <row r="257" spans="1:1" ht="15.75" customHeight="1" x14ac:dyDescent="0.25">
      <c r="A257" s="39"/>
    </row>
    <row r="258" spans="1:1" ht="15.75" customHeight="1" x14ac:dyDescent="0.25">
      <c r="A258" s="39"/>
    </row>
    <row r="259" spans="1:1" ht="15.75" customHeight="1" x14ac:dyDescent="0.25">
      <c r="A259" s="39"/>
    </row>
    <row r="260" spans="1:1" ht="15.75" customHeight="1" x14ac:dyDescent="0.25">
      <c r="A260" s="39"/>
    </row>
    <row r="261" spans="1:1" ht="15.75" customHeight="1" x14ac:dyDescent="0.25">
      <c r="A261" s="39"/>
    </row>
    <row r="262" spans="1:1" ht="15.75" customHeight="1" x14ac:dyDescent="0.25">
      <c r="A262" s="39"/>
    </row>
    <row r="263" spans="1:1" ht="15.75" customHeight="1" x14ac:dyDescent="0.25">
      <c r="A263" s="39"/>
    </row>
    <row r="264" spans="1:1" ht="15.75" customHeight="1" x14ac:dyDescent="0.25">
      <c r="A264" s="39"/>
    </row>
    <row r="265" spans="1:1" ht="15.75" customHeight="1" x14ac:dyDescent="0.25">
      <c r="A265" s="39"/>
    </row>
    <row r="266" spans="1:1" ht="15.75" customHeight="1" x14ac:dyDescent="0.25">
      <c r="A266" s="39"/>
    </row>
    <row r="267" spans="1:1" ht="15.75" customHeight="1" x14ac:dyDescent="0.25">
      <c r="A267" s="39"/>
    </row>
    <row r="268" spans="1:1" ht="15.75" customHeight="1" x14ac:dyDescent="0.25">
      <c r="A268" s="39"/>
    </row>
    <row r="269" spans="1:1" ht="15.75" customHeight="1" x14ac:dyDescent="0.25">
      <c r="A269" s="39"/>
    </row>
    <row r="270" spans="1:1" ht="15.75" customHeight="1" x14ac:dyDescent="0.25">
      <c r="A270" s="39"/>
    </row>
    <row r="271" spans="1:1" ht="15.75" customHeight="1" x14ac:dyDescent="0.25">
      <c r="A271" s="39"/>
    </row>
    <row r="272" spans="1:1" ht="15.75" customHeight="1" x14ac:dyDescent="0.25">
      <c r="A272" s="39"/>
    </row>
    <row r="273" spans="1:1" ht="15.75" customHeight="1" x14ac:dyDescent="0.25">
      <c r="A273" s="39"/>
    </row>
    <row r="274" spans="1:1" ht="15.75" customHeight="1" x14ac:dyDescent="0.25">
      <c r="A274" s="39"/>
    </row>
    <row r="275" spans="1:1" ht="15.75" customHeight="1" x14ac:dyDescent="0.25">
      <c r="A275" s="39"/>
    </row>
    <row r="276" spans="1:1" ht="15.75" customHeight="1" x14ac:dyDescent="0.25">
      <c r="A276" s="39"/>
    </row>
    <row r="277" spans="1:1" ht="15.75" customHeight="1" x14ac:dyDescent="0.25">
      <c r="A277" s="39"/>
    </row>
    <row r="278" spans="1:1" ht="15.75" customHeight="1" x14ac:dyDescent="0.25">
      <c r="A278" s="39"/>
    </row>
    <row r="279" spans="1:1" ht="15.75" customHeight="1" x14ac:dyDescent="0.25">
      <c r="A279" s="39"/>
    </row>
    <row r="280" spans="1:1" ht="15.75" customHeight="1" x14ac:dyDescent="0.25">
      <c r="A280" s="39"/>
    </row>
    <row r="281" spans="1:1" ht="15.75" customHeight="1" x14ac:dyDescent="0.25">
      <c r="A281" s="39"/>
    </row>
    <row r="282" spans="1:1" ht="15.75" customHeight="1" x14ac:dyDescent="0.25">
      <c r="A282" s="39"/>
    </row>
    <row r="283" spans="1:1" ht="15.75" customHeight="1" x14ac:dyDescent="0.25">
      <c r="A283" s="39"/>
    </row>
    <row r="284" spans="1:1" ht="15.75" customHeight="1" x14ac:dyDescent="0.25">
      <c r="A284" s="39"/>
    </row>
    <row r="285" spans="1:1" ht="15.75" customHeight="1" x14ac:dyDescent="0.25">
      <c r="A285" s="39"/>
    </row>
    <row r="286" spans="1:1" ht="15.75" customHeight="1" x14ac:dyDescent="0.25">
      <c r="A286" s="39"/>
    </row>
    <row r="287" spans="1:1" ht="15.75" customHeight="1" x14ac:dyDescent="0.25">
      <c r="A287" s="39"/>
    </row>
    <row r="288" spans="1:1" ht="15.75" customHeight="1" x14ac:dyDescent="0.25">
      <c r="A288" s="39"/>
    </row>
    <row r="289" spans="1:1" ht="15.75" customHeight="1" x14ac:dyDescent="0.25">
      <c r="A289" s="39"/>
    </row>
    <row r="290" spans="1:1" ht="15.75" customHeight="1" x14ac:dyDescent="0.25">
      <c r="A290" s="39"/>
    </row>
    <row r="291" spans="1:1" ht="15.75" customHeight="1" x14ac:dyDescent="0.25">
      <c r="A291" s="39"/>
    </row>
    <row r="292" spans="1:1" ht="15.75" customHeight="1" x14ac:dyDescent="0.25">
      <c r="A292" s="39"/>
    </row>
    <row r="293" spans="1:1" ht="15.75" customHeight="1" x14ac:dyDescent="0.25">
      <c r="A293" s="39"/>
    </row>
    <row r="294" spans="1:1" ht="15.75" customHeight="1" x14ac:dyDescent="0.25">
      <c r="A294" s="39"/>
    </row>
    <row r="295" spans="1:1" ht="15.75" customHeight="1" x14ac:dyDescent="0.25">
      <c r="A295" s="39"/>
    </row>
    <row r="296" spans="1:1" ht="15.75" customHeight="1" x14ac:dyDescent="0.25">
      <c r="A296" s="39"/>
    </row>
    <row r="297" spans="1:1" ht="15.75" customHeight="1" x14ac:dyDescent="0.25">
      <c r="A297" s="39"/>
    </row>
    <row r="298" spans="1:1" ht="15.75" customHeight="1" x14ac:dyDescent="0.25">
      <c r="A298" s="39"/>
    </row>
    <row r="299" spans="1:1" ht="15.75" customHeight="1" x14ac:dyDescent="0.25">
      <c r="A299" s="39"/>
    </row>
    <row r="300" spans="1:1" ht="15.75" customHeight="1" x14ac:dyDescent="0.25">
      <c r="A300" s="39"/>
    </row>
    <row r="301" spans="1:1" ht="15.75" customHeight="1" x14ac:dyDescent="0.25">
      <c r="A301" s="39"/>
    </row>
    <row r="302" spans="1:1" ht="15.75" customHeight="1" x14ac:dyDescent="0.25">
      <c r="A302" s="39"/>
    </row>
    <row r="303" spans="1:1" ht="15.75" customHeight="1" x14ac:dyDescent="0.25">
      <c r="A303" s="39"/>
    </row>
    <row r="304" spans="1:1" ht="15.75" customHeight="1" x14ac:dyDescent="0.25">
      <c r="A304" s="39"/>
    </row>
    <row r="305" spans="1:1" ht="15.75" customHeight="1" x14ac:dyDescent="0.25">
      <c r="A305" s="39"/>
    </row>
    <row r="306" spans="1:1" ht="15.75" customHeight="1" x14ac:dyDescent="0.25">
      <c r="A306" s="39"/>
    </row>
    <row r="307" spans="1:1" ht="15.75" customHeight="1" x14ac:dyDescent="0.25">
      <c r="A307" s="39"/>
    </row>
    <row r="308" spans="1:1" ht="15.75" customHeight="1" x14ac:dyDescent="0.25">
      <c r="A308" s="39"/>
    </row>
    <row r="309" spans="1:1" ht="15.75" customHeight="1" x14ac:dyDescent="0.25">
      <c r="A309" s="39"/>
    </row>
    <row r="310" spans="1:1" ht="15.75" customHeight="1" x14ac:dyDescent="0.25">
      <c r="A310" s="39"/>
    </row>
    <row r="311" spans="1:1" ht="15.75" customHeight="1" x14ac:dyDescent="0.25">
      <c r="A311" s="39"/>
    </row>
    <row r="312" spans="1:1" ht="15.75" customHeight="1" x14ac:dyDescent="0.25">
      <c r="A312" s="39"/>
    </row>
    <row r="313" spans="1:1" ht="15.75" customHeight="1" x14ac:dyDescent="0.25">
      <c r="A313" s="39"/>
    </row>
    <row r="314" spans="1:1" ht="15.75" customHeight="1" x14ac:dyDescent="0.25">
      <c r="A314" s="39"/>
    </row>
    <row r="315" spans="1:1" ht="15.75" customHeight="1" x14ac:dyDescent="0.25">
      <c r="A315" s="39"/>
    </row>
    <row r="316" spans="1:1" ht="15.75" customHeight="1" x14ac:dyDescent="0.25">
      <c r="A316" s="39"/>
    </row>
    <row r="317" spans="1:1" ht="15.75" customHeight="1" x14ac:dyDescent="0.25">
      <c r="A317" s="39"/>
    </row>
    <row r="318" spans="1:1" ht="15.75" customHeight="1" x14ac:dyDescent="0.25">
      <c r="A318" s="39"/>
    </row>
    <row r="319" spans="1:1" ht="15.75" customHeight="1" x14ac:dyDescent="0.25">
      <c r="A319" s="39"/>
    </row>
    <row r="320" spans="1:1" ht="15.75" customHeight="1" x14ac:dyDescent="0.25">
      <c r="A320" s="39"/>
    </row>
    <row r="321" spans="1:1" ht="15.75" customHeight="1" x14ac:dyDescent="0.25">
      <c r="A321" s="39"/>
    </row>
    <row r="322" spans="1:1" ht="15.75" customHeight="1" x14ac:dyDescent="0.25">
      <c r="A322" s="39"/>
    </row>
    <row r="323" spans="1:1" ht="15.75" customHeight="1" x14ac:dyDescent="0.25">
      <c r="A323" s="39"/>
    </row>
    <row r="324" spans="1:1" ht="15.75" customHeight="1" x14ac:dyDescent="0.25">
      <c r="A324" s="39"/>
    </row>
    <row r="325" spans="1:1" ht="15.75" customHeight="1" x14ac:dyDescent="0.25">
      <c r="A325" s="39"/>
    </row>
    <row r="326" spans="1:1" ht="15.75" customHeight="1" x14ac:dyDescent="0.25">
      <c r="A326" s="39"/>
    </row>
    <row r="327" spans="1:1" ht="15.75" customHeight="1" x14ac:dyDescent="0.25">
      <c r="A327" s="39"/>
    </row>
    <row r="328" spans="1:1" ht="15.75" customHeight="1" x14ac:dyDescent="0.25">
      <c r="A328" s="39"/>
    </row>
    <row r="329" spans="1:1" ht="15.75" customHeight="1" x14ac:dyDescent="0.25">
      <c r="A329" s="39"/>
    </row>
    <row r="330" spans="1:1" ht="15.75" customHeight="1" x14ac:dyDescent="0.25">
      <c r="A330" s="39"/>
    </row>
    <row r="331" spans="1:1" ht="15.75" customHeight="1" x14ac:dyDescent="0.25">
      <c r="A331" s="39"/>
    </row>
    <row r="332" spans="1:1" ht="15.75" customHeight="1" x14ac:dyDescent="0.25">
      <c r="A332" s="39"/>
    </row>
    <row r="333" spans="1:1" ht="15.75" customHeight="1" x14ac:dyDescent="0.25">
      <c r="A333" s="39"/>
    </row>
    <row r="334" spans="1:1" ht="15.75" customHeight="1" x14ac:dyDescent="0.25">
      <c r="A334" s="39"/>
    </row>
    <row r="335" spans="1:1" ht="15.75" customHeight="1" x14ac:dyDescent="0.25">
      <c r="A335" s="39"/>
    </row>
    <row r="336" spans="1:1" ht="15.75" customHeight="1" x14ac:dyDescent="0.25">
      <c r="A336" s="39"/>
    </row>
    <row r="337" spans="1:1" ht="15.75" customHeight="1" x14ac:dyDescent="0.25">
      <c r="A337" s="39"/>
    </row>
    <row r="338" spans="1:1" ht="15.75" customHeight="1" x14ac:dyDescent="0.25">
      <c r="A338" s="39"/>
    </row>
    <row r="339" spans="1:1" ht="15.75" customHeight="1" x14ac:dyDescent="0.25">
      <c r="A339" s="39"/>
    </row>
    <row r="340" spans="1:1" ht="15.75" customHeight="1" x14ac:dyDescent="0.25">
      <c r="A340" s="39"/>
    </row>
    <row r="341" spans="1:1" ht="15.75" customHeight="1" x14ac:dyDescent="0.25">
      <c r="A341" s="39"/>
    </row>
    <row r="342" spans="1:1" ht="15.75" customHeight="1" x14ac:dyDescent="0.25">
      <c r="A342" s="39"/>
    </row>
    <row r="343" spans="1:1" ht="15.75" customHeight="1" x14ac:dyDescent="0.25">
      <c r="A343" s="39"/>
    </row>
    <row r="344" spans="1:1" ht="15.75" customHeight="1" x14ac:dyDescent="0.25">
      <c r="A344" s="39"/>
    </row>
    <row r="345" spans="1:1" ht="15.75" customHeight="1" x14ac:dyDescent="0.25">
      <c r="A345" s="39"/>
    </row>
    <row r="346" spans="1:1" ht="15.75" customHeight="1" x14ac:dyDescent="0.25">
      <c r="A346" s="39"/>
    </row>
    <row r="347" spans="1:1" ht="15.75" customHeight="1" x14ac:dyDescent="0.25">
      <c r="A347" s="39"/>
    </row>
    <row r="348" spans="1:1" ht="15.75" customHeight="1" x14ac:dyDescent="0.25">
      <c r="A348" s="39"/>
    </row>
    <row r="349" spans="1:1" ht="15.75" customHeight="1" x14ac:dyDescent="0.25">
      <c r="A349" s="39"/>
    </row>
    <row r="350" spans="1:1" ht="15.75" customHeight="1" x14ac:dyDescent="0.25">
      <c r="A350" s="39"/>
    </row>
    <row r="351" spans="1:1" ht="15.75" customHeight="1" x14ac:dyDescent="0.25">
      <c r="A351" s="39"/>
    </row>
    <row r="352" spans="1:1" ht="15.75" customHeight="1" x14ac:dyDescent="0.25">
      <c r="A352" s="39"/>
    </row>
    <row r="353" spans="1:1" ht="15.75" customHeight="1" x14ac:dyDescent="0.25">
      <c r="A353" s="39"/>
    </row>
    <row r="354" spans="1:1" ht="15.75" customHeight="1" x14ac:dyDescent="0.25">
      <c r="A354" s="39"/>
    </row>
    <row r="355" spans="1:1" ht="15.75" customHeight="1" x14ac:dyDescent="0.25">
      <c r="A355" s="39"/>
    </row>
    <row r="356" spans="1:1" ht="15.75" customHeight="1" x14ac:dyDescent="0.25">
      <c r="A356" s="39"/>
    </row>
    <row r="357" spans="1:1" ht="15.75" customHeight="1" x14ac:dyDescent="0.25">
      <c r="A357" s="39"/>
    </row>
    <row r="358" spans="1:1" ht="15.75" customHeight="1" x14ac:dyDescent="0.25">
      <c r="A358" s="39"/>
    </row>
    <row r="359" spans="1:1" ht="15.75" customHeight="1" x14ac:dyDescent="0.25">
      <c r="A359" s="39"/>
    </row>
    <row r="360" spans="1:1" ht="15.75" customHeight="1" x14ac:dyDescent="0.25">
      <c r="A360" s="39"/>
    </row>
    <row r="361" spans="1:1" ht="15.75" customHeight="1" x14ac:dyDescent="0.25">
      <c r="A361" s="39"/>
    </row>
    <row r="362" spans="1:1" ht="15.75" customHeight="1" x14ac:dyDescent="0.25">
      <c r="A362" s="39"/>
    </row>
    <row r="363" spans="1:1" ht="15.75" customHeight="1" x14ac:dyDescent="0.25">
      <c r="A363" s="39"/>
    </row>
    <row r="364" spans="1:1" ht="15.75" customHeight="1" x14ac:dyDescent="0.25">
      <c r="A364" s="39"/>
    </row>
    <row r="365" spans="1:1" ht="15.75" customHeight="1" x14ac:dyDescent="0.25">
      <c r="A365" s="39"/>
    </row>
    <row r="366" spans="1:1" ht="15.75" customHeight="1" x14ac:dyDescent="0.25">
      <c r="A366" s="39"/>
    </row>
    <row r="367" spans="1:1" ht="15.75" customHeight="1" x14ac:dyDescent="0.25">
      <c r="A367" s="39"/>
    </row>
    <row r="368" spans="1:1" ht="15.75" customHeight="1" x14ac:dyDescent="0.25">
      <c r="A368" s="39"/>
    </row>
    <row r="369" spans="1:1" ht="15.75" customHeight="1" x14ac:dyDescent="0.25">
      <c r="A369" s="39"/>
    </row>
    <row r="370" spans="1:1" ht="15.75" customHeight="1" x14ac:dyDescent="0.25">
      <c r="A370" s="39"/>
    </row>
    <row r="371" spans="1:1" ht="15.75" customHeight="1" x14ac:dyDescent="0.25">
      <c r="A371" s="39"/>
    </row>
    <row r="372" spans="1:1" ht="15.75" customHeight="1" x14ac:dyDescent="0.25">
      <c r="A372" s="39"/>
    </row>
    <row r="373" spans="1:1" ht="15.75" customHeight="1" x14ac:dyDescent="0.25">
      <c r="A373" s="39"/>
    </row>
    <row r="374" spans="1:1" ht="15.75" customHeight="1" x14ac:dyDescent="0.25">
      <c r="A374" s="39"/>
    </row>
    <row r="375" spans="1:1" ht="15.75" customHeight="1" x14ac:dyDescent="0.25">
      <c r="A375" s="39"/>
    </row>
    <row r="376" spans="1:1" ht="15.75" customHeight="1" x14ac:dyDescent="0.25">
      <c r="A376" s="39"/>
    </row>
    <row r="377" spans="1:1" ht="15.75" customHeight="1" x14ac:dyDescent="0.25">
      <c r="A377" s="39"/>
    </row>
    <row r="378" spans="1:1" ht="15.75" customHeight="1" x14ac:dyDescent="0.25">
      <c r="A378" s="39"/>
    </row>
    <row r="379" spans="1:1" ht="15.75" customHeight="1" x14ac:dyDescent="0.25">
      <c r="A379" s="39"/>
    </row>
    <row r="380" spans="1:1" ht="15.75" customHeight="1" x14ac:dyDescent="0.25">
      <c r="A380" s="39"/>
    </row>
    <row r="381" spans="1:1" ht="15.75" customHeight="1" x14ac:dyDescent="0.25">
      <c r="A381" s="39"/>
    </row>
    <row r="382" spans="1:1" ht="15.75" customHeight="1" x14ac:dyDescent="0.25">
      <c r="A382" s="39"/>
    </row>
    <row r="383" spans="1:1" ht="15.75" customHeight="1" x14ac:dyDescent="0.25">
      <c r="A383" s="39"/>
    </row>
    <row r="384" spans="1:1" ht="15.75" customHeight="1" x14ac:dyDescent="0.25">
      <c r="A384" s="39"/>
    </row>
    <row r="385" spans="1:1" ht="15.75" customHeight="1" x14ac:dyDescent="0.25">
      <c r="A385" s="39"/>
    </row>
    <row r="386" spans="1:1" ht="15.75" customHeight="1" x14ac:dyDescent="0.25">
      <c r="A386" s="39"/>
    </row>
    <row r="387" spans="1:1" ht="15.75" customHeight="1" x14ac:dyDescent="0.25">
      <c r="A387" s="39"/>
    </row>
    <row r="388" spans="1:1" ht="15.75" customHeight="1" x14ac:dyDescent="0.25">
      <c r="A388" s="39"/>
    </row>
    <row r="389" spans="1:1" ht="15.75" customHeight="1" x14ac:dyDescent="0.25">
      <c r="A389" s="39"/>
    </row>
    <row r="390" spans="1:1" ht="15.75" customHeight="1" x14ac:dyDescent="0.25">
      <c r="A390" s="39"/>
    </row>
    <row r="391" spans="1:1" ht="15.75" customHeight="1" x14ac:dyDescent="0.25">
      <c r="A391" s="39"/>
    </row>
    <row r="392" spans="1:1" ht="15.75" customHeight="1" x14ac:dyDescent="0.25">
      <c r="A392" s="39"/>
    </row>
    <row r="393" spans="1:1" ht="15.75" customHeight="1" x14ac:dyDescent="0.25">
      <c r="A393" s="39"/>
    </row>
    <row r="394" spans="1:1" ht="15.75" customHeight="1" x14ac:dyDescent="0.25">
      <c r="A394" s="39"/>
    </row>
    <row r="395" spans="1:1" ht="15.75" customHeight="1" x14ac:dyDescent="0.25">
      <c r="A395" s="39"/>
    </row>
    <row r="396" spans="1:1" ht="15.75" customHeight="1" x14ac:dyDescent="0.25">
      <c r="A396" s="39"/>
    </row>
    <row r="397" spans="1:1" ht="15.75" customHeight="1" x14ac:dyDescent="0.25">
      <c r="A397" s="39"/>
    </row>
    <row r="398" spans="1:1" ht="15.75" customHeight="1" x14ac:dyDescent="0.25">
      <c r="A398" s="39"/>
    </row>
    <row r="399" spans="1:1" ht="15.75" customHeight="1" x14ac:dyDescent="0.25">
      <c r="A399" s="39"/>
    </row>
    <row r="400" spans="1:1" ht="15.75" customHeight="1" x14ac:dyDescent="0.25">
      <c r="A400" s="39"/>
    </row>
    <row r="401" spans="1:1" ht="15.75" customHeight="1" x14ac:dyDescent="0.25">
      <c r="A401" s="39"/>
    </row>
    <row r="402" spans="1:1" ht="15.75" customHeight="1" x14ac:dyDescent="0.25">
      <c r="A402" s="39"/>
    </row>
    <row r="403" spans="1:1" ht="15.75" customHeight="1" x14ac:dyDescent="0.25">
      <c r="A403" s="39"/>
    </row>
    <row r="404" spans="1:1" ht="15.75" customHeight="1" x14ac:dyDescent="0.25">
      <c r="A404" s="39"/>
    </row>
    <row r="405" spans="1:1" ht="15.75" customHeight="1" x14ac:dyDescent="0.25">
      <c r="A405" s="39"/>
    </row>
    <row r="406" spans="1:1" ht="15.75" customHeight="1" x14ac:dyDescent="0.25">
      <c r="A406" s="39"/>
    </row>
    <row r="407" spans="1:1" ht="15.75" customHeight="1" x14ac:dyDescent="0.25">
      <c r="A407" s="39"/>
    </row>
    <row r="408" spans="1:1" ht="15.75" customHeight="1" x14ac:dyDescent="0.25">
      <c r="A408" s="39"/>
    </row>
    <row r="409" spans="1:1" ht="15.75" customHeight="1" x14ac:dyDescent="0.25">
      <c r="A409" s="39"/>
    </row>
    <row r="410" spans="1:1" ht="15.75" customHeight="1" x14ac:dyDescent="0.25">
      <c r="A410" s="39"/>
    </row>
    <row r="411" spans="1:1" ht="15.75" customHeight="1" x14ac:dyDescent="0.25">
      <c r="A411" s="39"/>
    </row>
    <row r="412" spans="1:1" ht="15.75" customHeight="1" x14ac:dyDescent="0.25">
      <c r="A412" s="39"/>
    </row>
    <row r="413" spans="1:1" ht="15.75" customHeight="1" x14ac:dyDescent="0.25">
      <c r="A413" s="39"/>
    </row>
    <row r="414" spans="1:1" ht="15.75" customHeight="1" x14ac:dyDescent="0.25">
      <c r="A414" s="39"/>
    </row>
    <row r="415" spans="1:1" ht="15.75" customHeight="1" x14ac:dyDescent="0.25">
      <c r="A415" s="39"/>
    </row>
    <row r="416" spans="1:1" ht="15.75" customHeight="1" x14ac:dyDescent="0.25">
      <c r="A416" s="39"/>
    </row>
    <row r="417" spans="1:1" ht="15.75" customHeight="1" x14ac:dyDescent="0.25">
      <c r="A417" s="39"/>
    </row>
    <row r="418" spans="1:1" ht="15.75" customHeight="1" x14ac:dyDescent="0.25">
      <c r="A418" s="39"/>
    </row>
    <row r="419" spans="1:1" ht="15.75" customHeight="1" x14ac:dyDescent="0.25">
      <c r="A419" s="39"/>
    </row>
    <row r="420" spans="1:1" ht="15.75" customHeight="1" x14ac:dyDescent="0.25">
      <c r="A420" s="39"/>
    </row>
    <row r="421" spans="1:1" ht="15.75" customHeight="1" x14ac:dyDescent="0.25">
      <c r="A421" s="39"/>
    </row>
    <row r="422" spans="1:1" ht="15.75" customHeight="1" x14ac:dyDescent="0.25">
      <c r="A422" s="39"/>
    </row>
    <row r="423" spans="1:1" ht="15.75" customHeight="1" x14ac:dyDescent="0.25">
      <c r="A423" s="39"/>
    </row>
    <row r="424" spans="1:1" ht="15.75" customHeight="1" x14ac:dyDescent="0.25">
      <c r="A424" s="39"/>
    </row>
    <row r="425" spans="1:1" ht="15.75" customHeight="1" x14ac:dyDescent="0.25">
      <c r="A425" s="39"/>
    </row>
    <row r="426" spans="1:1" ht="15.75" customHeight="1" x14ac:dyDescent="0.25">
      <c r="A426" s="39"/>
    </row>
    <row r="427" spans="1:1" ht="15.75" customHeight="1" x14ac:dyDescent="0.25">
      <c r="A427" s="39"/>
    </row>
    <row r="428" spans="1:1" ht="15.75" customHeight="1" x14ac:dyDescent="0.25">
      <c r="A428" s="39"/>
    </row>
    <row r="429" spans="1:1" ht="15.75" customHeight="1" x14ac:dyDescent="0.25">
      <c r="A429" s="39"/>
    </row>
    <row r="430" spans="1:1" ht="15.75" customHeight="1" x14ac:dyDescent="0.25">
      <c r="A430" s="39"/>
    </row>
    <row r="431" spans="1:1" ht="15.75" customHeight="1" x14ac:dyDescent="0.25">
      <c r="A431" s="39"/>
    </row>
    <row r="432" spans="1:1" ht="15.75" customHeight="1" x14ac:dyDescent="0.25">
      <c r="A432" s="39"/>
    </row>
    <row r="433" spans="1:1" ht="15.75" customHeight="1" x14ac:dyDescent="0.25">
      <c r="A433" s="39"/>
    </row>
    <row r="434" spans="1:1" ht="15.75" customHeight="1" x14ac:dyDescent="0.25">
      <c r="A434" s="39"/>
    </row>
    <row r="435" spans="1:1" ht="15.75" customHeight="1" x14ac:dyDescent="0.25">
      <c r="A435" s="39"/>
    </row>
    <row r="436" spans="1:1" ht="15.75" customHeight="1" x14ac:dyDescent="0.25">
      <c r="A436" s="39"/>
    </row>
    <row r="437" spans="1:1" ht="15.75" customHeight="1" x14ac:dyDescent="0.25">
      <c r="A437" s="39"/>
    </row>
    <row r="438" spans="1:1" ht="15.75" customHeight="1" x14ac:dyDescent="0.25">
      <c r="A438" s="39"/>
    </row>
    <row r="439" spans="1:1" ht="15.75" customHeight="1" x14ac:dyDescent="0.25">
      <c r="A439" s="39"/>
    </row>
    <row r="440" spans="1:1" ht="15.75" customHeight="1" x14ac:dyDescent="0.25">
      <c r="A440" s="39"/>
    </row>
    <row r="441" spans="1:1" ht="15.75" customHeight="1" x14ac:dyDescent="0.25">
      <c r="A441" s="39"/>
    </row>
    <row r="442" spans="1:1" ht="15.75" customHeight="1" x14ac:dyDescent="0.25">
      <c r="A442" s="39"/>
    </row>
    <row r="443" spans="1:1" ht="15.75" customHeight="1" x14ac:dyDescent="0.25">
      <c r="A443" s="39"/>
    </row>
    <row r="444" spans="1:1" ht="15.75" customHeight="1" x14ac:dyDescent="0.25">
      <c r="A444" s="39"/>
    </row>
    <row r="445" spans="1:1" ht="15.75" customHeight="1" x14ac:dyDescent="0.25">
      <c r="A445" s="39"/>
    </row>
    <row r="446" spans="1:1" ht="15.75" customHeight="1" x14ac:dyDescent="0.25">
      <c r="A446" s="39"/>
    </row>
    <row r="447" spans="1:1" ht="15.75" customHeight="1" x14ac:dyDescent="0.25">
      <c r="A447" s="39"/>
    </row>
    <row r="448" spans="1:1" ht="15.75" customHeight="1" x14ac:dyDescent="0.25">
      <c r="A448" s="39"/>
    </row>
    <row r="449" spans="1:1" ht="15.75" customHeight="1" x14ac:dyDescent="0.25">
      <c r="A449" s="39"/>
    </row>
    <row r="450" spans="1:1" ht="15.75" customHeight="1" x14ac:dyDescent="0.25">
      <c r="A450" s="39"/>
    </row>
    <row r="451" spans="1:1" ht="15.75" customHeight="1" x14ac:dyDescent="0.25">
      <c r="A451" s="39"/>
    </row>
    <row r="452" spans="1:1" ht="15.75" customHeight="1" x14ac:dyDescent="0.25">
      <c r="A452" s="39"/>
    </row>
    <row r="453" spans="1:1" ht="15.75" customHeight="1" x14ac:dyDescent="0.25">
      <c r="A453" s="39"/>
    </row>
    <row r="454" spans="1:1" ht="15.75" customHeight="1" x14ac:dyDescent="0.25">
      <c r="A454" s="39"/>
    </row>
    <row r="455" spans="1:1" ht="15.75" customHeight="1" x14ac:dyDescent="0.25">
      <c r="A455" s="39"/>
    </row>
    <row r="456" spans="1:1" ht="15.75" customHeight="1" x14ac:dyDescent="0.25">
      <c r="A456" s="39"/>
    </row>
    <row r="457" spans="1:1" ht="15.75" customHeight="1" x14ac:dyDescent="0.25">
      <c r="A457" s="39"/>
    </row>
    <row r="458" spans="1:1" ht="15.75" customHeight="1" x14ac:dyDescent="0.25">
      <c r="A458" s="39"/>
    </row>
    <row r="459" spans="1:1" ht="15.75" customHeight="1" x14ac:dyDescent="0.25">
      <c r="A459" s="39"/>
    </row>
    <row r="460" spans="1:1" ht="15.75" customHeight="1" x14ac:dyDescent="0.25">
      <c r="A460" s="39"/>
    </row>
    <row r="461" spans="1:1" ht="15.75" customHeight="1" x14ac:dyDescent="0.25">
      <c r="A461" s="39"/>
    </row>
    <row r="462" spans="1:1" ht="15.75" customHeight="1" x14ac:dyDescent="0.25">
      <c r="A462" s="39"/>
    </row>
    <row r="463" spans="1:1" ht="15.75" customHeight="1" x14ac:dyDescent="0.25">
      <c r="A463" s="39"/>
    </row>
    <row r="464" spans="1:1" ht="15.75" customHeight="1" x14ac:dyDescent="0.25">
      <c r="A464" s="39"/>
    </row>
    <row r="465" spans="1:1" ht="15.75" customHeight="1" x14ac:dyDescent="0.25">
      <c r="A465" s="39"/>
    </row>
    <row r="466" spans="1:1" ht="15.75" customHeight="1" x14ac:dyDescent="0.25">
      <c r="A466" s="39"/>
    </row>
    <row r="467" spans="1:1" ht="15.75" customHeight="1" x14ac:dyDescent="0.25">
      <c r="A467" s="39"/>
    </row>
    <row r="468" spans="1:1" ht="15.75" customHeight="1" x14ac:dyDescent="0.25">
      <c r="A468" s="39"/>
    </row>
    <row r="469" spans="1:1" ht="15.75" customHeight="1" x14ac:dyDescent="0.25">
      <c r="A469" s="39"/>
    </row>
    <row r="470" spans="1:1" ht="15.75" customHeight="1" x14ac:dyDescent="0.25">
      <c r="A470" s="39"/>
    </row>
    <row r="471" spans="1:1" ht="15.75" customHeight="1" x14ac:dyDescent="0.25">
      <c r="A471" s="39"/>
    </row>
    <row r="472" spans="1:1" ht="15.75" customHeight="1" x14ac:dyDescent="0.25">
      <c r="A472" s="39"/>
    </row>
    <row r="473" spans="1:1" ht="15.75" customHeight="1" x14ac:dyDescent="0.25">
      <c r="A473" s="39"/>
    </row>
    <row r="474" spans="1:1" ht="15.75" customHeight="1" x14ac:dyDescent="0.25">
      <c r="A474" s="39"/>
    </row>
    <row r="475" spans="1:1" ht="15.75" customHeight="1" x14ac:dyDescent="0.25">
      <c r="A475" s="39"/>
    </row>
    <row r="476" spans="1:1" ht="15.75" customHeight="1" x14ac:dyDescent="0.25">
      <c r="A476" s="39"/>
    </row>
    <row r="477" spans="1:1" ht="15.75" customHeight="1" x14ac:dyDescent="0.25">
      <c r="A477" s="39"/>
    </row>
    <row r="478" spans="1:1" ht="15.75" customHeight="1" x14ac:dyDescent="0.25">
      <c r="A478" s="39"/>
    </row>
    <row r="479" spans="1:1" ht="15.75" customHeight="1" x14ac:dyDescent="0.25">
      <c r="A479" s="39"/>
    </row>
    <row r="480" spans="1:1" ht="15.75" customHeight="1" x14ac:dyDescent="0.25">
      <c r="A480" s="39"/>
    </row>
    <row r="481" spans="1:1" ht="15.75" customHeight="1" x14ac:dyDescent="0.25">
      <c r="A481" s="39"/>
    </row>
    <row r="482" spans="1:1" ht="15.75" customHeight="1" x14ac:dyDescent="0.25">
      <c r="A482" s="39"/>
    </row>
    <row r="483" spans="1:1" ht="15.75" customHeight="1" x14ac:dyDescent="0.25">
      <c r="A483" s="39"/>
    </row>
    <row r="484" spans="1:1" ht="15.75" customHeight="1" x14ac:dyDescent="0.25">
      <c r="A484" s="39"/>
    </row>
    <row r="485" spans="1:1" ht="15.75" customHeight="1" x14ac:dyDescent="0.25">
      <c r="A485" s="39"/>
    </row>
    <row r="486" spans="1:1" ht="15.75" customHeight="1" x14ac:dyDescent="0.25">
      <c r="A486" s="39"/>
    </row>
    <row r="487" spans="1:1" ht="15.75" customHeight="1" x14ac:dyDescent="0.25">
      <c r="A487" s="39"/>
    </row>
    <row r="488" spans="1:1" ht="15.75" customHeight="1" x14ac:dyDescent="0.25">
      <c r="A488" s="39"/>
    </row>
    <row r="489" spans="1:1" ht="15.75" customHeight="1" x14ac:dyDescent="0.25">
      <c r="A489" s="39"/>
    </row>
    <row r="490" spans="1:1" ht="15.75" customHeight="1" x14ac:dyDescent="0.25">
      <c r="A490" s="39"/>
    </row>
    <row r="491" spans="1:1" ht="15.75" customHeight="1" x14ac:dyDescent="0.25">
      <c r="A491" s="39"/>
    </row>
    <row r="492" spans="1:1" ht="15.75" customHeight="1" x14ac:dyDescent="0.25">
      <c r="A492" s="39"/>
    </row>
    <row r="493" spans="1:1" ht="15.75" customHeight="1" x14ac:dyDescent="0.25">
      <c r="A493" s="39"/>
    </row>
    <row r="494" spans="1:1" ht="15.75" customHeight="1" x14ac:dyDescent="0.25">
      <c r="A494" s="39"/>
    </row>
    <row r="495" spans="1:1" ht="15.75" customHeight="1" x14ac:dyDescent="0.25">
      <c r="A495" s="39"/>
    </row>
    <row r="496" spans="1:1" ht="15.75" customHeight="1" x14ac:dyDescent="0.25">
      <c r="A496" s="39"/>
    </row>
    <row r="497" spans="1:1" ht="15.75" customHeight="1" x14ac:dyDescent="0.25">
      <c r="A497" s="39"/>
    </row>
    <row r="498" spans="1:1" ht="15.75" customHeight="1" x14ac:dyDescent="0.25">
      <c r="A498" s="39"/>
    </row>
    <row r="499" spans="1:1" ht="15.75" customHeight="1" x14ac:dyDescent="0.25">
      <c r="A499" s="39"/>
    </row>
    <row r="500" spans="1:1" ht="15.75" customHeight="1" x14ac:dyDescent="0.25">
      <c r="A500" s="39"/>
    </row>
    <row r="501" spans="1:1" ht="15.75" customHeight="1" x14ac:dyDescent="0.25">
      <c r="A501" s="39"/>
    </row>
    <row r="502" spans="1:1" ht="15.75" customHeight="1" x14ac:dyDescent="0.25">
      <c r="A502" s="39"/>
    </row>
    <row r="503" spans="1:1" ht="15.75" customHeight="1" x14ac:dyDescent="0.25">
      <c r="A503" s="39"/>
    </row>
    <row r="504" spans="1:1" ht="15.75" customHeight="1" x14ac:dyDescent="0.25">
      <c r="A504" s="39"/>
    </row>
    <row r="505" spans="1:1" ht="15.75" customHeight="1" x14ac:dyDescent="0.25">
      <c r="A505" s="39"/>
    </row>
    <row r="506" spans="1:1" ht="15.75" customHeight="1" x14ac:dyDescent="0.25">
      <c r="A506" s="39"/>
    </row>
    <row r="507" spans="1:1" ht="15.75" customHeight="1" x14ac:dyDescent="0.25">
      <c r="A507" s="39"/>
    </row>
    <row r="508" spans="1:1" ht="15.75" customHeight="1" x14ac:dyDescent="0.25">
      <c r="A508" s="39"/>
    </row>
    <row r="509" spans="1:1" ht="15.75" customHeight="1" x14ac:dyDescent="0.25">
      <c r="A509" s="39"/>
    </row>
    <row r="510" spans="1:1" ht="15.75" customHeight="1" x14ac:dyDescent="0.25">
      <c r="A510" s="39"/>
    </row>
    <row r="511" spans="1:1" ht="15.75" customHeight="1" x14ac:dyDescent="0.25">
      <c r="A511" s="39"/>
    </row>
    <row r="512" spans="1:1" ht="15.75" customHeight="1" x14ac:dyDescent="0.25">
      <c r="A512" s="39"/>
    </row>
    <row r="513" spans="1:1" ht="15.75" customHeight="1" x14ac:dyDescent="0.25">
      <c r="A513" s="39"/>
    </row>
    <row r="514" spans="1:1" ht="15.75" customHeight="1" x14ac:dyDescent="0.25">
      <c r="A514" s="39"/>
    </row>
    <row r="515" spans="1:1" ht="15.75" customHeight="1" x14ac:dyDescent="0.25">
      <c r="A515" s="39"/>
    </row>
    <row r="516" spans="1:1" ht="15.75" customHeight="1" x14ac:dyDescent="0.25">
      <c r="A516" s="39"/>
    </row>
    <row r="517" spans="1:1" ht="15.75" customHeight="1" x14ac:dyDescent="0.25">
      <c r="A517" s="39"/>
    </row>
    <row r="518" spans="1:1" ht="15.75" customHeight="1" x14ac:dyDescent="0.25">
      <c r="A518" s="39"/>
    </row>
    <row r="519" spans="1:1" ht="15.75" customHeight="1" x14ac:dyDescent="0.25">
      <c r="A519" s="39"/>
    </row>
    <row r="520" spans="1:1" ht="15.75" customHeight="1" x14ac:dyDescent="0.25">
      <c r="A520" s="39"/>
    </row>
    <row r="521" spans="1:1" ht="15.75" customHeight="1" x14ac:dyDescent="0.25">
      <c r="A521" s="39"/>
    </row>
    <row r="522" spans="1:1" ht="15.75" customHeight="1" x14ac:dyDescent="0.25">
      <c r="A522" s="39"/>
    </row>
    <row r="523" spans="1:1" ht="15.75" customHeight="1" x14ac:dyDescent="0.25">
      <c r="A523" s="39"/>
    </row>
    <row r="524" spans="1:1" ht="15.75" customHeight="1" x14ac:dyDescent="0.25">
      <c r="A524" s="39"/>
    </row>
    <row r="525" spans="1:1" ht="15.75" customHeight="1" x14ac:dyDescent="0.25">
      <c r="A525" s="39"/>
    </row>
    <row r="526" spans="1:1" ht="15.75" customHeight="1" x14ac:dyDescent="0.25">
      <c r="A526" s="39"/>
    </row>
    <row r="527" spans="1:1" ht="15.75" customHeight="1" x14ac:dyDescent="0.25">
      <c r="A527" s="39"/>
    </row>
    <row r="528" spans="1:1" ht="15.75" customHeight="1" x14ac:dyDescent="0.25">
      <c r="A528" s="39"/>
    </row>
    <row r="529" spans="1:1" ht="15.75" customHeight="1" x14ac:dyDescent="0.25">
      <c r="A529" s="39"/>
    </row>
    <row r="530" spans="1:1" ht="15.75" customHeight="1" x14ac:dyDescent="0.25">
      <c r="A530" s="39"/>
    </row>
    <row r="531" spans="1:1" ht="15.75" customHeight="1" x14ac:dyDescent="0.25">
      <c r="A531" s="39"/>
    </row>
    <row r="532" spans="1:1" ht="15.75" customHeight="1" x14ac:dyDescent="0.25">
      <c r="A532" s="39"/>
    </row>
    <row r="533" spans="1:1" ht="15.75" customHeight="1" x14ac:dyDescent="0.25">
      <c r="A533" s="39"/>
    </row>
    <row r="534" spans="1:1" ht="15.75" customHeight="1" x14ac:dyDescent="0.25">
      <c r="A534" s="39"/>
    </row>
    <row r="535" spans="1:1" ht="15.75" customHeight="1" x14ac:dyDescent="0.25">
      <c r="A535" s="39"/>
    </row>
    <row r="536" spans="1:1" ht="15.75" customHeight="1" x14ac:dyDescent="0.25">
      <c r="A536" s="39"/>
    </row>
    <row r="537" spans="1:1" ht="15.75" customHeight="1" x14ac:dyDescent="0.25">
      <c r="A537" s="39"/>
    </row>
    <row r="538" spans="1:1" ht="15.75" customHeight="1" x14ac:dyDescent="0.25">
      <c r="A538" s="39"/>
    </row>
    <row r="539" spans="1:1" ht="15.75" customHeight="1" x14ac:dyDescent="0.25">
      <c r="A539" s="39"/>
    </row>
    <row r="540" spans="1:1" ht="15.75" customHeight="1" x14ac:dyDescent="0.25">
      <c r="A540" s="39"/>
    </row>
    <row r="541" spans="1:1" ht="15.75" customHeight="1" x14ac:dyDescent="0.25">
      <c r="A541" s="39"/>
    </row>
    <row r="542" spans="1:1" ht="15.75" customHeight="1" x14ac:dyDescent="0.25">
      <c r="A542" s="39"/>
    </row>
    <row r="543" spans="1:1" ht="15.75" customHeight="1" x14ac:dyDescent="0.25">
      <c r="A543" s="39"/>
    </row>
    <row r="544" spans="1:1" ht="15.75" customHeight="1" x14ac:dyDescent="0.25">
      <c r="A544" s="39"/>
    </row>
    <row r="545" spans="1:1" ht="15.75" customHeight="1" x14ac:dyDescent="0.25">
      <c r="A545" s="39"/>
    </row>
    <row r="546" spans="1:1" ht="15.75" customHeight="1" x14ac:dyDescent="0.25">
      <c r="A546" s="39"/>
    </row>
    <row r="547" spans="1:1" ht="15.75" customHeight="1" x14ac:dyDescent="0.25">
      <c r="A547" s="39"/>
    </row>
    <row r="548" spans="1:1" ht="15.75" customHeight="1" x14ac:dyDescent="0.25">
      <c r="A548" s="39"/>
    </row>
    <row r="549" spans="1:1" ht="15.75" customHeight="1" x14ac:dyDescent="0.25">
      <c r="A549" s="39"/>
    </row>
    <row r="550" spans="1:1" ht="15.75" customHeight="1" x14ac:dyDescent="0.25">
      <c r="A550" s="39"/>
    </row>
    <row r="551" spans="1:1" ht="15.75" customHeight="1" x14ac:dyDescent="0.25">
      <c r="A551" s="39"/>
    </row>
    <row r="552" spans="1:1" ht="15.75" customHeight="1" x14ac:dyDescent="0.25">
      <c r="A552" s="39"/>
    </row>
    <row r="553" spans="1:1" ht="15.75" customHeight="1" x14ac:dyDescent="0.25">
      <c r="A553" s="39"/>
    </row>
    <row r="554" spans="1:1" ht="15.75" customHeight="1" x14ac:dyDescent="0.25">
      <c r="A554" s="39"/>
    </row>
    <row r="555" spans="1:1" ht="15.75" customHeight="1" x14ac:dyDescent="0.25">
      <c r="A555" s="39"/>
    </row>
    <row r="556" spans="1:1" ht="15.75" customHeight="1" x14ac:dyDescent="0.25">
      <c r="A556" s="39"/>
    </row>
    <row r="557" spans="1:1" ht="15.75" customHeight="1" x14ac:dyDescent="0.25">
      <c r="A557" s="39"/>
    </row>
    <row r="558" spans="1:1" ht="15.75" customHeight="1" x14ac:dyDescent="0.25">
      <c r="A558" s="39"/>
    </row>
    <row r="559" spans="1:1" ht="15.75" customHeight="1" x14ac:dyDescent="0.25">
      <c r="A559" s="39"/>
    </row>
    <row r="560" spans="1:1" ht="15.75" customHeight="1" x14ac:dyDescent="0.25">
      <c r="A560" s="39"/>
    </row>
    <row r="561" spans="1:1" ht="15.75" customHeight="1" x14ac:dyDescent="0.25">
      <c r="A561" s="39"/>
    </row>
    <row r="562" spans="1:1" ht="15.75" customHeight="1" x14ac:dyDescent="0.25">
      <c r="A562" s="39"/>
    </row>
    <row r="563" spans="1:1" ht="15.75" customHeight="1" x14ac:dyDescent="0.25">
      <c r="A563" s="39"/>
    </row>
    <row r="564" spans="1:1" ht="15.75" customHeight="1" x14ac:dyDescent="0.25">
      <c r="A564" s="39"/>
    </row>
    <row r="565" spans="1:1" ht="15.75" customHeight="1" x14ac:dyDescent="0.25">
      <c r="A565" s="39"/>
    </row>
    <row r="566" spans="1:1" ht="15.75" customHeight="1" x14ac:dyDescent="0.25">
      <c r="A566" s="39"/>
    </row>
    <row r="567" spans="1:1" ht="15.75" customHeight="1" x14ac:dyDescent="0.25">
      <c r="A567" s="39"/>
    </row>
    <row r="568" spans="1:1" ht="15.75" customHeight="1" x14ac:dyDescent="0.25">
      <c r="A568" s="39"/>
    </row>
    <row r="569" spans="1:1" ht="15.75" customHeight="1" x14ac:dyDescent="0.25">
      <c r="A569" s="39"/>
    </row>
    <row r="570" spans="1:1" ht="15.75" customHeight="1" x14ac:dyDescent="0.25">
      <c r="A570" s="39"/>
    </row>
    <row r="571" spans="1:1" ht="15.75" customHeight="1" x14ac:dyDescent="0.25">
      <c r="A571" s="39"/>
    </row>
    <row r="572" spans="1:1" ht="15.75" customHeight="1" x14ac:dyDescent="0.25">
      <c r="A572" s="39"/>
    </row>
    <row r="573" spans="1:1" ht="15.75" customHeight="1" x14ac:dyDescent="0.25">
      <c r="A573" s="39"/>
    </row>
    <row r="574" spans="1:1" ht="15.75" customHeight="1" x14ac:dyDescent="0.25">
      <c r="A574" s="39"/>
    </row>
    <row r="575" spans="1:1" ht="15.75" customHeight="1" x14ac:dyDescent="0.25">
      <c r="A575" s="39"/>
    </row>
    <row r="576" spans="1:1" ht="15.75" customHeight="1" x14ac:dyDescent="0.25">
      <c r="A576" s="39"/>
    </row>
    <row r="577" spans="1:1" ht="15.75" customHeight="1" x14ac:dyDescent="0.25">
      <c r="A577" s="39"/>
    </row>
    <row r="578" spans="1:1" ht="15.75" customHeight="1" x14ac:dyDescent="0.25">
      <c r="A578" s="39"/>
    </row>
    <row r="579" spans="1:1" ht="15.75" customHeight="1" x14ac:dyDescent="0.25">
      <c r="A579" s="39"/>
    </row>
    <row r="580" spans="1:1" ht="15.75" customHeight="1" x14ac:dyDescent="0.25">
      <c r="A580" s="39"/>
    </row>
    <row r="581" spans="1:1" ht="15.75" customHeight="1" x14ac:dyDescent="0.25">
      <c r="A581" s="39"/>
    </row>
    <row r="582" spans="1:1" ht="15.75" customHeight="1" x14ac:dyDescent="0.25">
      <c r="A582" s="39"/>
    </row>
    <row r="583" spans="1:1" ht="15.75" customHeight="1" x14ac:dyDescent="0.25">
      <c r="A583" s="39"/>
    </row>
    <row r="584" spans="1:1" ht="15.75" customHeight="1" x14ac:dyDescent="0.25">
      <c r="A584" s="39"/>
    </row>
    <row r="585" spans="1:1" ht="15.75" customHeight="1" x14ac:dyDescent="0.25">
      <c r="A585" s="39"/>
    </row>
    <row r="586" spans="1:1" ht="15.75" customHeight="1" x14ac:dyDescent="0.25">
      <c r="A586" s="39"/>
    </row>
    <row r="587" spans="1:1" ht="15.75" customHeight="1" x14ac:dyDescent="0.25">
      <c r="A587" s="39"/>
    </row>
    <row r="588" spans="1:1" ht="15.75" customHeight="1" x14ac:dyDescent="0.25">
      <c r="A588" s="39"/>
    </row>
    <row r="589" spans="1:1" ht="15.75" customHeight="1" x14ac:dyDescent="0.25">
      <c r="A589" s="39"/>
    </row>
    <row r="590" spans="1:1" ht="15.75" customHeight="1" x14ac:dyDescent="0.25">
      <c r="A590" s="39"/>
    </row>
    <row r="591" spans="1:1" ht="15.75" customHeight="1" x14ac:dyDescent="0.25">
      <c r="A591" s="39"/>
    </row>
    <row r="592" spans="1:1" ht="15.75" customHeight="1" x14ac:dyDescent="0.25">
      <c r="A592" s="39"/>
    </row>
    <row r="593" spans="1:1" ht="15.75" customHeight="1" x14ac:dyDescent="0.25">
      <c r="A593" s="39"/>
    </row>
    <row r="594" spans="1:1" ht="15.75" customHeight="1" x14ac:dyDescent="0.25">
      <c r="A594" s="39"/>
    </row>
    <row r="595" spans="1:1" ht="15.75" customHeight="1" x14ac:dyDescent="0.25">
      <c r="A595" s="39"/>
    </row>
    <row r="596" spans="1:1" ht="15.75" customHeight="1" x14ac:dyDescent="0.25">
      <c r="A596" s="39"/>
    </row>
    <row r="597" spans="1:1" ht="15.75" customHeight="1" x14ac:dyDescent="0.25">
      <c r="A597" s="39"/>
    </row>
    <row r="598" spans="1:1" ht="15.75" customHeight="1" x14ac:dyDescent="0.25">
      <c r="A598" s="39"/>
    </row>
    <row r="599" spans="1:1" ht="15.75" customHeight="1" x14ac:dyDescent="0.25">
      <c r="A599" s="39"/>
    </row>
    <row r="600" spans="1:1" ht="15.75" customHeight="1" x14ac:dyDescent="0.25">
      <c r="A600" s="39"/>
    </row>
    <row r="601" spans="1:1" ht="15.75" customHeight="1" x14ac:dyDescent="0.25">
      <c r="A601" s="39"/>
    </row>
    <row r="602" spans="1:1" ht="15.75" customHeight="1" x14ac:dyDescent="0.25">
      <c r="A602" s="39"/>
    </row>
    <row r="603" spans="1:1" ht="15.75" customHeight="1" x14ac:dyDescent="0.25">
      <c r="A603" s="39"/>
    </row>
    <row r="604" spans="1:1" ht="15.75" customHeight="1" x14ac:dyDescent="0.25">
      <c r="A604" s="39"/>
    </row>
    <row r="605" spans="1:1" ht="15.75" customHeight="1" x14ac:dyDescent="0.25">
      <c r="A605" s="39"/>
    </row>
    <row r="606" spans="1:1" ht="15.75" customHeight="1" x14ac:dyDescent="0.25">
      <c r="A606" s="39"/>
    </row>
    <row r="607" spans="1:1" ht="15.75" customHeight="1" x14ac:dyDescent="0.25">
      <c r="A607" s="39"/>
    </row>
    <row r="608" spans="1:1" ht="15.75" customHeight="1" x14ac:dyDescent="0.25">
      <c r="A608" s="39"/>
    </row>
    <row r="609" spans="1:1" ht="15.75" customHeight="1" x14ac:dyDescent="0.25">
      <c r="A609" s="39"/>
    </row>
    <row r="610" spans="1:1" ht="15.75" customHeight="1" x14ac:dyDescent="0.25">
      <c r="A610" s="39"/>
    </row>
    <row r="611" spans="1:1" ht="15.75" customHeight="1" x14ac:dyDescent="0.25">
      <c r="A611" s="39"/>
    </row>
    <row r="612" spans="1:1" ht="15.75" customHeight="1" x14ac:dyDescent="0.25">
      <c r="A612" s="39"/>
    </row>
    <row r="613" spans="1:1" ht="15.75" customHeight="1" x14ac:dyDescent="0.25">
      <c r="A613" s="39"/>
    </row>
    <row r="614" spans="1:1" ht="15.75" customHeight="1" x14ac:dyDescent="0.25">
      <c r="A614" s="39"/>
    </row>
    <row r="615" spans="1:1" ht="15.75" customHeight="1" x14ac:dyDescent="0.25">
      <c r="A615" s="39"/>
    </row>
    <row r="616" spans="1:1" ht="15.75" customHeight="1" x14ac:dyDescent="0.25">
      <c r="A616" s="39"/>
    </row>
    <row r="617" spans="1:1" ht="15.75" customHeight="1" x14ac:dyDescent="0.25">
      <c r="A617" s="39"/>
    </row>
    <row r="618" spans="1:1" ht="15.75" customHeight="1" x14ac:dyDescent="0.25">
      <c r="A618" s="39"/>
    </row>
    <row r="619" spans="1:1" ht="15.75" customHeight="1" x14ac:dyDescent="0.25">
      <c r="A619" s="39"/>
    </row>
    <row r="620" spans="1:1" ht="15.75" customHeight="1" x14ac:dyDescent="0.25">
      <c r="A620" s="39"/>
    </row>
    <row r="621" spans="1:1" ht="15.75" customHeight="1" x14ac:dyDescent="0.25">
      <c r="A621" s="39"/>
    </row>
    <row r="622" spans="1:1" ht="15.75" customHeight="1" x14ac:dyDescent="0.25">
      <c r="A622" s="39"/>
    </row>
    <row r="623" spans="1:1" ht="15.75" customHeight="1" x14ac:dyDescent="0.25">
      <c r="A623" s="39"/>
    </row>
    <row r="624" spans="1:1" ht="15.75" customHeight="1" x14ac:dyDescent="0.25">
      <c r="A624" s="39"/>
    </row>
    <row r="625" spans="1:1" ht="15.75" customHeight="1" x14ac:dyDescent="0.25">
      <c r="A625" s="39"/>
    </row>
    <row r="626" spans="1:1" ht="15.75" customHeight="1" x14ac:dyDescent="0.25">
      <c r="A626" s="39"/>
    </row>
    <row r="627" spans="1:1" ht="15.75" customHeight="1" x14ac:dyDescent="0.25">
      <c r="A627" s="39"/>
    </row>
    <row r="628" spans="1:1" ht="15.75" customHeight="1" x14ac:dyDescent="0.25">
      <c r="A628" s="39"/>
    </row>
    <row r="629" spans="1:1" ht="15.75" customHeight="1" x14ac:dyDescent="0.25">
      <c r="A629" s="39"/>
    </row>
    <row r="630" spans="1:1" ht="15.75" customHeight="1" x14ac:dyDescent="0.25">
      <c r="A630" s="39"/>
    </row>
    <row r="631" spans="1:1" ht="15.75" customHeight="1" x14ac:dyDescent="0.25">
      <c r="A631" s="39"/>
    </row>
    <row r="632" spans="1:1" ht="15.75" customHeight="1" x14ac:dyDescent="0.25">
      <c r="A632" s="39"/>
    </row>
    <row r="633" spans="1:1" ht="15.75" customHeight="1" x14ac:dyDescent="0.25">
      <c r="A633" s="39"/>
    </row>
    <row r="634" spans="1:1" ht="15.75" customHeight="1" x14ac:dyDescent="0.25">
      <c r="A634" s="39"/>
    </row>
    <row r="635" spans="1:1" ht="15.75" customHeight="1" x14ac:dyDescent="0.25">
      <c r="A635" s="39"/>
    </row>
    <row r="636" spans="1:1" ht="15.75" customHeight="1" x14ac:dyDescent="0.25">
      <c r="A636" s="39"/>
    </row>
    <row r="637" spans="1:1" ht="15.75" customHeight="1" x14ac:dyDescent="0.25">
      <c r="A637" s="39"/>
    </row>
    <row r="638" spans="1:1" ht="15.75" customHeight="1" x14ac:dyDescent="0.25">
      <c r="A638" s="39"/>
    </row>
    <row r="639" spans="1:1" ht="15.75" customHeight="1" x14ac:dyDescent="0.25">
      <c r="A639" s="39"/>
    </row>
    <row r="640" spans="1:1" ht="15.75" customHeight="1" x14ac:dyDescent="0.25">
      <c r="A640" s="39"/>
    </row>
    <row r="641" spans="1:1" ht="15.75" customHeight="1" x14ac:dyDescent="0.25">
      <c r="A641" s="39"/>
    </row>
    <row r="642" spans="1:1" ht="15.75" customHeight="1" x14ac:dyDescent="0.25">
      <c r="A642" s="39"/>
    </row>
    <row r="643" spans="1:1" ht="15.75" customHeight="1" x14ac:dyDescent="0.25">
      <c r="A643" s="39"/>
    </row>
    <row r="644" spans="1:1" ht="15.75" customHeight="1" x14ac:dyDescent="0.25">
      <c r="A644" s="39"/>
    </row>
    <row r="645" spans="1:1" ht="15.75" customHeight="1" x14ac:dyDescent="0.25">
      <c r="A645" s="39"/>
    </row>
    <row r="646" spans="1:1" ht="15.75" customHeight="1" x14ac:dyDescent="0.25">
      <c r="A646" s="39"/>
    </row>
    <row r="647" spans="1:1" ht="15.75" customHeight="1" x14ac:dyDescent="0.25">
      <c r="A647" s="39"/>
    </row>
    <row r="648" spans="1:1" ht="15.75" customHeight="1" x14ac:dyDescent="0.25">
      <c r="A648" s="39"/>
    </row>
    <row r="649" spans="1:1" ht="15.75" customHeight="1" x14ac:dyDescent="0.25">
      <c r="A649" s="39"/>
    </row>
    <row r="650" spans="1:1" ht="15.75" customHeight="1" x14ac:dyDescent="0.25">
      <c r="A650" s="39"/>
    </row>
    <row r="651" spans="1:1" ht="15.75" customHeight="1" x14ac:dyDescent="0.25">
      <c r="A651" s="39"/>
    </row>
    <row r="652" spans="1:1" ht="15.75" customHeight="1" x14ac:dyDescent="0.25">
      <c r="A652" s="39"/>
    </row>
    <row r="653" spans="1:1" ht="15.75" customHeight="1" x14ac:dyDescent="0.25">
      <c r="A653" s="39"/>
    </row>
    <row r="654" spans="1:1" ht="15.75" customHeight="1" x14ac:dyDescent="0.25">
      <c r="A654" s="39"/>
    </row>
    <row r="655" spans="1:1" ht="15.75" customHeight="1" x14ac:dyDescent="0.25">
      <c r="A655" s="39"/>
    </row>
    <row r="656" spans="1:1" ht="15.75" customHeight="1" x14ac:dyDescent="0.25">
      <c r="A656" s="39"/>
    </row>
    <row r="657" spans="1:1" ht="15.75" customHeight="1" x14ac:dyDescent="0.25">
      <c r="A657" s="39"/>
    </row>
    <row r="658" spans="1:1" ht="15.75" customHeight="1" x14ac:dyDescent="0.25">
      <c r="A658" s="39"/>
    </row>
    <row r="659" spans="1:1" ht="15.75" customHeight="1" x14ac:dyDescent="0.25">
      <c r="A659" s="39"/>
    </row>
    <row r="660" spans="1:1" ht="15.75" customHeight="1" x14ac:dyDescent="0.25">
      <c r="A660" s="39"/>
    </row>
    <row r="661" spans="1:1" ht="15.75" customHeight="1" x14ac:dyDescent="0.25">
      <c r="A661" s="39"/>
    </row>
    <row r="662" spans="1:1" ht="15.75" customHeight="1" x14ac:dyDescent="0.25">
      <c r="A662" s="39"/>
    </row>
    <row r="663" spans="1:1" ht="15.75" customHeight="1" x14ac:dyDescent="0.25">
      <c r="A663" s="39"/>
    </row>
    <row r="664" spans="1:1" ht="15.75" customHeight="1" x14ac:dyDescent="0.25">
      <c r="A664" s="39"/>
    </row>
    <row r="665" spans="1:1" ht="15.75" customHeight="1" x14ac:dyDescent="0.25">
      <c r="A665" s="39"/>
    </row>
    <row r="666" spans="1:1" ht="15.75" customHeight="1" x14ac:dyDescent="0.25">
      <c r="A666" s="39"/>
    </row>
    <row r="667" spans="1:1" ht="15.75" customHeight="1" x14ac:dyDescent="0.25">
      <c r="A667" s="39"/>
    </row>
    <row r="668" spans="1:1" ht="15.75" customHeight="1" x14ac:dyDescent="0.25">
      <c r="A668" s="39"/>
    </row>
    <row r="669" spans="1:1" ht="15.75" customHeight="1" x14ac:dyDescent="0.25">
      <c r="A669" s="39"/>
    </row>
    <row r="670" spans="1:1" ht="15.75" customHeight="1" x14ac:dyDescent="0.25">
      <c r="A670" s="39"/>
    </row>
    <row r="671" spans="1:1" ht="15.75" customHeight="1" x14ac:dyDescent="0.25">
      <c r="A671" s="39"/>
    </row>
    <row r="672" spans="1:1" ht="15.75" customHeight="1" x14ac:dyDescent="0.25">
      <c r="A672" s="39"/>
    </row>
    <row r="673" spans="1:1" ht="15.75" customHeight="1" x14ac:dyDescent="0.25">
      <c r="A673" s="39"/>
    </row>
    <row r="674" spans="1:1" ht="15.75" customHeight="1" x14ac:dyDescent="0.25">
      <c r="A674" s="39"/>
    </row>
    <row r="675" spans="1:1" ht="15.75" customHeight="1" x14ac:dyDescent="0.25">
      <c r="A675" s="39"/>
    </row>
    <row r="676" spans="1:1" ht="15.75" customHeight="1" x14ac:dyDescent="0.25">
      <c r="A676" s="39"/>
    </row>
    <row r="677" spans="1:1" ht="15.75" customHeight="1" x14ac:dyDescent="0.25">
      <c r="A677" s="39"/>
    </row>
    <row r="678" spans="1:1" ht="15.75" customHeight="1" x14ac:dyDescent="0.25">
      <c r="A678" s="39"/>
    </row>
    <row r="679" spans="1:1" ht="15.75" customHeight="1" x14ac:dyDescent="0.25">
      <c r="A679" s="39"/>
    </row>
    <row r="680" spans="1:1" ht="15.75" customHeight="1" x14ac:dyDescent="0.25">
      <c r="A680" s="39"/>
    </row>
    <row r="681" spans="1:1" ht="15.75" customHeight="1" x14ac:dyDescent="0.25">
      <c r="A681" s="39"/>
    </row>
    <row r="682" spans="1:1" ht="15.75" customHeight="1" x14ac:dyDescent="0.25">
      <c r="A682" s="39"/>
    </row>
    <row r="683" spans="1:1" ht="15.75" customHeight="1" x14ac:dyDescent="0.25">
      <c r="A683" s="39"/>
    </row>
    <row r="684" spans="1:1" ht="15.75" customHeight="1" x14ac:dyDescent="0.25">
      <c r="A684" s="39"/>
    </row>
    <row r="685" spans="1:1" ht="15.75" customHeight="1" x14ac:dyDescent="0.25">
      <c r="A685" s="39"/>
    </row>
    <row r="686" spans="1:1" ht="15.75" customHeight="1" x14ac:dyDescent="0.25">
      <c r="A686" s="39"/>
    </row>
    <row r="687" spans="1:1" ht="15.75" customHeight="1" x14ac:dyDescent="0.25">
      <c r="A687" s="39"/>
    </row>
    <row r="688" spans="1:1" ht="15.75" customHeight="1" x14ac:dyDescent="0.25">
      <c r="A688" s="39"/>
    </row>
    <row r="689" spans="1:1" ht="15.75" customHeight="1" x14ac:dyDescent="0.25">
      <c r="A689" s="39"/>
    </row>
    <row r="690" spans="1:1" ht="15.75" customHeight="1" x14ac:dyDescent="0.25">
      <c r="A690" s="39"/>
    </row>
    <row r="691" spans="1:1" ht="15.75" customHeight="1" x14ac:dyDescent="0.25">
      <c r="A691" s="39"/>
    </row>
    <row r="692" spans="1:1" ht="15.75" customHeight="1" x14ac:dyDescent="0.25">
      <c r="A692" s="39"/>
    </row>
    <row r="693" spans="1:1" ht="15.75" customHeight="1" x14ac:dyDescent="0.25">
      <c r="A693" s="39"/>
    </row>
    <row r="694" spans="1:1" ht="15.75" customHeight="1" x14ac:dyDescent="0.25">
      <c r="A694" s="39"/>
    </row>
    <row r="695" spans="1:1" ht="15.75" customHeight="1" x14ac:dyDescent="0.25">
      <c r="A695" s="39"/>
    </row>
    <row r="696" spans="1:1" ht="15.75" customHeight="1" x14ac:dyDescent="0.25">
      <c r="A696" s="39"/>
    </row>
    <row r="697" spans="1:1" ht="15.75" customHeight="1" x14ac:dyDescent="0.25">
      <c r="A697" s="39"/>
    </row>
    <row r="698" spans="1:1" ht="15.75" customHeight="1" x14ac:dyDescent="0.25">
      <c r="A698" s="39"/>
    </row>
    <row r="699" spans="1:1" ht="15.75" customHeight="1" x14ac:dyDescent="0.25">
      <c r="A699" s="39"/>
    </row>
    <row r="700" spans="1:1" ht="15.75" customHeight="1" x14ac:dyDescent="0.25">
      <c r="A700" s="39"/>
    </row>
    <row r="701" spans="1:1" ht="15.75" customHeight="1" x14ac:dyDescent="0.25">
      <c r="A701" s="39"/>
    </row>
    <row r="702" spans="1:1" ht="15.75" customHeight="1" x14ac:dyDescent="0.25">
      <c r="A702" s="39"/>
    </row>
    <row r="703" spans="1:1" ht="15.75" customHeight="1" x14ac:dyDescent="0.25">
      <c r="A703" s="39"/>
    </row>
    <row r="704" spans="1:1" ht="15.75" customHeight="1" x14ac:dyDescent="0.25">
      <c r="A704" s="39"/>
    </row>
    <row r="705" spans="1:1" ht="15.75" customHeight="1" x14ac:dyDescent="0.25">
      <c r="A705" s="39"/>
    </row>
    <row r="706" spans="1:1" ht="15.75" customHeight="1" x14ac:dyDescent="0.25">
      <c r="A706" s="39"/>
    </row>
    <row r="707" spans="1:1" ht="15.75" customHeight="1" x14ac:dyDescent="0.25">
      <c r="A707" s="39"/>
    </row>
    <row r="708" spans="1:1" ht="15.75" customHeight="1" x14ac:dyDescent="0.25">
      <c r="A708" s="39"/>
    </row>
    <row r="709" spans="1:1" ht="15.75" customHeight="1" x14ac:dyDescent="0.25">
      <c r="A709" s="39"/>
    </row>
    <row r="710" spans="1:1" ht="15.75" customHeight="1" x14ac:dyDescent="0.25">
      <c r="A710" s="39"/>
    </row>
    <row r="711" spans="1:1" ht="15.75" customHeight="1" x14ac:dyDescent="0.25">
      <c r="A711" s="39"/>
    </row>
    <row r="712" spans="1:1" ht="15.75" customHeight="1" x14ac:dyDescent="0.25">
      <c r="A712" s="39"/>
    </row>
    <row r="713" spans="1:1" ht="15.75" customHeight="1" x14ac:dyDescent="0.25">
      <c r="A713" s="39"/>
    </row>
    <row r="714" spans="1:1" ht="15.75" customHeight="1" x14ac:dyDescent="0.25">
      <c r="A714" s="39"/>
    </row>
    <row r="715" spans="1:1" ht="15.75" customHeight="1" x14ac:dyDescent="0.25">
      <c r="A715" s="39"/>
    </row>
    <row r="716" spans="1:1" ht="15.75" customHeight="1" x14ac:dyDescent="0.25">
      <c r="A716" s="39"/>
    </row>
    <row r="717" spans="1:1" ht="15.75" customHeight="1" x14ac:dyDescent="0.25">
      <c r="A717" s="39"/>
    </row>
    <row r="718" spans="1:1" ht="15.75" customHeight="1" x14ac:dyDescent="0.25">
      <c r="A718" s="39"/>
    </row>
    <row r="719" spans="1:1" ht="15.75" customHeight="1" x14ac:dyDescent="0.25">
      <c r="A719" s="39"/>
    </row>
    <row r="720" spans="1:1" ht="15.75" customHeight="1" x14ac:dyDescent="0.25">
      <c r="A720" s="39"/>
    </row>
    <row r="721" spans="1:1" ht="15.75" customHeight="1" x14ac:dyDescent="0.25">
      <c r="A721" s="39"/>
    </row>
    <row r="722" spans="1:1" ht="15.75" customHeight="1" x14ac:dyDescent="0.25">
      <c r="A722" s="39"/>
    </row>
    <row r="723" spans="1:1" ht="15.75" customHeight="1" x14ac:dyDescent="0.25">
      <c r="A723" s="39"/>
    </row>
    <row r="724" spans="1:1" ht="15.75" customHeight="1" x14ac:dyDescent="0.25">
      <c r="A724" s="39"/>
    </row>
    <row r="725" spans="1:1" ht="15.75" customHeight="1" x14ac:dyDescent="0.25">
      <c r="A725" s="39"/>
    </row>
    <row r="726" spans="1:1" ht="15.75" customHeight="1" x14ac:dyDescent="0.25">
      <c r="A726" s="39"/>
    </row>
    <row r="727" spans="1:1" ht="15.75" customHeight="1" x14ac:dyDescent="0.25">
      <c r="A727" s="39"/>
    </row>
    <row r="728" spans="1:1" ht="15.75" customHeight="1" x14ac:dyDescent="0.25">
      <c r="A728" s="39"/>
    </row>
    <row r="729" spans="1:1" ht="15.75" customHeight="1" x14ac:dyDescent="0.25">
      <c r="A729" s="39"/>
    </row>
    <row r="730" spans="1:1" ht="15.75" customHeight="1" x14ac:dyDescent="0.25">
      <c r="A730" s="39"/>
    </row>
    <row r="731" spans="1:1" ht="15.75" customHeight="1" x14ac:dyDescent="0.25">
      <c r="A731" s="39"/>
    </row>
    <row r="732" spans="1:1" ht="15.75" customHeight="1" x14ac:dyDescent="0.25">
      <c r="A732" s="39"/>
    </row>
    <row r="733" spans="1:1" ht="15.75" customHeight="1" x14ac:dyDescent="0.25">
      <c r="A733" s="39"/>
    </row>
    <row r="734" spans="1:1" ht="15.75" customHeight="1" x14ac:dyDescent="0.25">
      <c r="A734" s="39"/>
    </row>
    <row r="735" spans="1:1" ht="15.75" customHeight="1" x14ac:dyDescent="0.25">
      <c r="A735" s="39"/>
    </row>
    <row r="736" spans="1:1" ht="15.75" customHeight="1" x14ac:dyDescent="0.25">
      <c r="A736" s="39"/>
    </row>
    <row r="737" spans="1:1" ht="15.75" customHeight="1" x14ac:dyDescent="0.25">
      <c r="A737" s="39"/>
    </row>
    <row r="738" spans="1:1" ht="15.75" customHeight="1" x14ac:dyDescent="0.25">
      <c r="A738" s="39"/>
    </row>
    <row r="739" spans="1:1" ht="15.75" customHeight="1" x14ac:dyDescent="0.25">
      <c r="A739" s="39"/>
    </row>
    <row r="740" spans="1:1" ht="15.75" customHeight="1" x14ac:dyDescent="0.25">
      <c r="A740" s="39"/>
    </row>
    <row r="741" spans="1:1" ht="15.75" customHeight="1" x14ac:dyDescent="0.25">
      <c r="A741" s="39"/>
    </row>
    <row r="742" spans="1:1" ht="15.75" customHeight="1" x14ac:dyDescent="0.25">
      <c r="A742" s="39"/>
    </row>
    <row r="743" spans="1:1" ht="15.75" customHeight="1" x14ac:dyDescent="0.25">
      <c r="A743" s="39"/>
    </row>
    <row r="744" spans="1:1" ht="15.75" customHeight="1" x14ac:dyDescent="0.25">
      <c r="A744" s="39"/>
    </row>
    <row r="745" spans="1:1" ht="15.75" customHeight="1" x14ac:dyDescent="0.25">
      <c r="A745" s="39"/>
    </row>
    <row r="746" spans="1:1" ht="15.75" customHeight="1" x14ac:dyDescent="0.25">
      <c r="A746" s="39"/>
    </row>
    <row r="747" spans="1:1" ht="15.75" customHeight="1" x14ac:dyDescent="0.25">
      <c r="A747" s="39"/>
    </row>
    <row r="748" spans="1:1" ht="15.75" customHeight="1" x14ac:dyDescent="0.25">
      <c r="A748" s="39"/>
    </row>
    <row r="749" spans="1:1" ht="15.75" customHeight="1" x14ac:dyDescent="0.25">
      <c r="A749" s="39"/>
    </row>
    <row r="750" spans="1:1" ht="15.75" customHeight="1" x14ac:dyDescent="0.25">
      <c r="A750" s="39"/>
    </row>
    <row r="751" spans="1:1" ht="15.75" customHeight="1" x14ac:dyDescent="0.25">
      <c r="A751" s="39"/>
    </row>
    <row r="752" spans="1:1" ht="15.75" customHeight="1" x14ac:dyDescent="0.25">
      <c r="A752" s="39"/>
    </row>
    <row r="753" spans="1:1" ht="15.75" customHeight="1" x14ac:dyDescent="0.25">
      <c r="A753" s="39"/>
    </row>
    <row r="754" spans="1:1" ht="15.75" customHeight="1" x14ac:dyDescent="0.25">
      <c r="A754" s="39"/>
    </row>
    <row r="755" spans="1:1" ht="15.75" customHeight="1" x14ac:dyDescent="0.25">
      <c r="A755" s="39"/>
    </row>
    <row r="756" spans="1:1" ht="15.75" customHeight="1" x14ac:dyDescent="0.25">
      <c r="A756" s="39"/>
    </row>
    <row r="757" spans="1:1" ht="15.75" customHeight="1" x14ac:dyDescent="0.25">
      <c r="A757" s="39"/>
    </row>
    <row r="758" spans="1:1" ht="15.75" customHeight="1" x14ac:dyDescent="0.25">
      <c r="A758" s="39"/>
    </row>
    <row r="759" spans="1:1" ht="15.75" customHeight="1" x14ac:dyDescent="0.25">
      <c r="A759" s="39"/>
    </row>
    <row r="760" spans="1:1" ht="15.75" customHeight="1" x14ac:dyDescent="0.25">
      <c r="A760" s="39"/>
    </row>
    <row r="761" spans="1:1" ht="15.75" customHeight="1" x14ac:dyDescent="0.25">
      <c r="A761" s="39"/>
    </row>
    <row r="762" spans="1:1" ht="15.75" customHeight="1" x14ac:dyDescent="0.25">
      <c r="A762" s="39"/>
    </row>
    <row r="763" spans="1:1" ht="15.75" customHeight="1" x14ac:dyDescent="0.25">
      <c r="A763" s="39"/>
    </row>
    <row r="764" spans="1:1" ht="15.75" customHeight="1" x14ac:dyDescent="0.25">
      <c r="A764" s="39"/>
    </row>
    <row r="765" spans="1:1" ht="15.75" customHeight="1" x14ac:dyDescent="0.25">
      <c r="A765" s="39"/>
    </row>
    <row r="766" spans="1:1" ht="15.75" customHeight="1" x14ac:dyDescent="0.25">
      <c r="A766" s="39"/>
    </row>
    <row r="767" spans="1:1" ht="15.75" customHeight="1" x14ac:dyDescent="0.25">
      <c r="A767" s="39"/>
    </row>
    <row r="768" spans="1:1" ht="15.75" customHeight="1" x14ac:dyDescent="0.25">
      <c r="A768" s="39"/>
    </row>
    <row r="769" spans="1:1" ht="15.75" customHeight="1" x14ac:dyDescent="0.25">
      <c r="A769" s="39"/>
    </row>
    <row r="770" spans="1:1" ht="15.75" customHeight="1" x14ac:dyDescent="0.25">
      <c r="A770" s="39"/>
    </row>
    <row r="771" spans="1:1" ht="15.75" customHeight="1" x14ac:dyDescent="0.25">
      <c r="A771" s="39"/>
    </row>
    <row r="772" spans="1:1" ht="15.75" customHeight="1" x14ac:dyDescent="0.25">
      <c r="A772" s="39"/>
    </row>
    <row r="773" spans="1:1" ht="15.75" customHeight="1" x14ac:dyDescent="0.25">
      <c r="A773" s="39"/>
    </row>
    <row r="774" spans="1:1" ht="15.75" customHeight="1" x14ac:dyDescent="0.25">
      <c r="A774" s="39"/>
    </row>
    <row r="775" spans="1:1" ht="15.75" customHeight="1" x14ac:dyDescent="0.25">
      <c r="A775" s="39"/>
    </row>
    <row r="776" spans="1:1" ht="15.75" customHeight="1" x14ac:dyDescent="0.25">
      <c r="A776" s="39"/>
    </row>
    <row r="777" spans="1:1" ht="15.75" customHeight="1" x14ac:dyDescent="0.25">
      <c r="A777" s="39"/>
    </row>
    <row r="778" spans="1:1" ht="15.75" customHeight="1" x14ac:dyDescent="0.25">
      <c r="A778" s="39"/>
    </row>
    <row r="779" spans="1:1" ht="15.75" customHeight="1" x14ac:dyDescent="0.25">
      <c r="A779" s="39"/>
    </row>
    <row r="780" spans="1:1" ht="15.75" customHeight="1" x14ac:dyDescent="0.25">
      <c r="A780" s="39"/>
    </row>
    <row r="781" spans="1:1" ht="15.75" customHeight="1" x14ac:dyDescent="0.25">
      <c r="A781" s="39"/>
    </row>
    <row r="782" spans="1:1" ht="15.75" customHeight="1" x14ac:dyDescent="0.25">
      <c r="A782" s="39"/>
    </row>
    <row r="783" spans="1:1" ht="15.75" customHeight="1" x14ac:dyDescent="0.25">
      <c r="A783" s="39"/>
    </row>
    <row r="784" spans="1:1" ht="15.75" customHeight="1" x14ac:dyDescent="0.25">
      <c r="A784" s="39"/>
    </row>
    <row r="785" spans="1:1" ht="15.75" customHeight="1" x14ac:dyDescent="0.25">
      <c r="A785" s="39"/>
    </row>
    <row r="786" spans="1:1" ht="15.75" customHeight="1" x14ac:dyDescent="0.25">
      <c r="A786" s="39"/>
    </row>
    <row r="787" spans="1:1" ht="15.75" customHeight="1" x14ac:dyDescent="0.25">
      <c r="A787" s="39"/>
    </row>
    <row r="788" spans="1:1" ht="15.75" customHeight="1" x14ac:dyDescent="0.25">
      <c r="A788" s="39"/>
    </row>
    <row r="789" spans="1:1" ht="15.75" customHeight="1" x14ac:dyDescent="0.25">
      <c r="A789" s="39"/>
    </row>
    <row r="790" spans="1:1" ht="15.75" customHeight="1" x14ac:dyDescent="0.25">
      <c r="A790" s="39"/>
    </row>
    <row r="791" spans="1:1" ht="15.75" customHeight="1" x14ac:dyDescent="0.25">
      <c r="A791" s="39"/>
    </row>
    <row r="792" spans="1:1" ht="15.75" customHeight="1" x14ac:dyDescent="0.25">
      <c r="A792" s="39"/>
    </row>
    <row r="793" spans="1:1" ht="15.75" customHeight="1" x14ac:dyDescent="0.25">
      <c r="A793" s="39"/>
    </row>
    <row r="794" spans="1:1" ht="15.75" customHeight="1" x14ac:dyDescent="0.25">
      <c r="A794" s="39"/>
    </row>
    <row r="795" spans="1:1" ht="15.75" customHeight="1" x14ac:dyDescent="0.25">
      <c r="A795" s="39"/>
    </row>
    <row r="796" spans="1:1" ht="15.75" customHeight="1" x14ac:dyDescent="0.25">
      <c r="A796" s="39"/>
    </row>
    <row r="797" spans="1:1" ht="15.75" customHeight="1" x14ac:dyDescent="0.25">
      <c r="A797" s="39"/>
    </row>
    <row r="798" spans="1:1" ht="15.75" customHeight="1" x14ac:dyDescent="0.25">
      <c r="A798" s="39"/>
    </row>
    <row r="799" spans="1:1" ht="15.75" customHeight="1" x14ac:dyDescent="0.25">
      <c r="A799" s="39"/>
    </row>
    <row r="800" spans="1:1" ht="15.75" customHeight="1" x14ac:dyDescent="0.25">
      <c r="A800" s="39"/>
    </row>
    <row r="801" spans="1:1" ht="15.75" customHeight="1" x14ac:dyDescent="0.25">
      <c r="A801" s="39"/>
    </row>
    <row r="802" spans="1:1" ht="15.75" customHeight="1" x14ac:dyDescent="0.25">
      <c r="A802" s="39"/>
    </row>
    <row r="803" spans="1:1" ht="15.75" customHeight="1" x14ac:dyDescent="0.25">
      <c r="A803" s="39"/>
    </row>
    <row r="804" spans="1:1" ht="15.75" customHeight="1" x14ac:dyDescent="0.25">
      <c r="A804" s="39"/>
    </row>
    <row r="805" spans="1:1" ht="15.75" customHeight="1" x14ac:dyDescent="0.25">
      <c r="A805" s="39"/>
    </row>
    <row r="806" spans="1:1" ht="15.75" customHeight="1" x14ac:dyDescent="0.25">
      <c r="A806" s="39"/>
    </row>
    <row r="807" spans="1:1" ht="15.75" customHeight="1" x14ac:dyDescent="0.25">
      <c r="A807" s="39"/>
    </row>
    <row r="808" spans="1:1" ht="15.75" customHeight="1" x14ac:dyDescent="0.25">
      <c r="A808" s="39"/>
    </row>
    <row r="809" spans="1:1" ht="15.75" customHeight="1" x14ac:dyDescent="0.25">
      <c r="A809" s="39"/>
    </row>
    <row r="810" spans="1:1" ht="15.75" customHeight="1" x14ac:dyDescent="0.25">
      <c r="A810" s="39"/>
    </row>
    <row r="811" spans="1:1" ht="15.75" customHeight="1" x14ac:dyDescent="0.25">
      <c r="A811" s="39"/>
    </row>
    <row r="812" spans="1:1" ht="15.75" customHeight="1" x14ac:dyDescent="0.25">
      <c r="A812" s="39"/>
    </row>
    <row r="813" spans="1:1" ht="15.75" customHeight="1" x14ac:dyDescent="0.25">
      <c r="A813" s="39"/>
    </row>
    <row r="814" spans="1:1" ht="15.75" customHeight="1" x14ac:dyDescent="0.25">
      <c r="A814" s="39"/>
    </row>
    <row r="815" spans="1:1" ht="15.75" customHeight="1" x14ac:dyDescent="0.25">
      <c r="A815" s="39"/>
    </row>
    <row r="816" spans="1:1" ht="15.75" customHeight="1" x14ac:dyDescent="0.25">
      <c r="A816" s="39"/>
    </row>
    <row r="817" spans="1:1" ht="15.75" customHeight="1" x14ac:dyDescent="0.25">
      <c r="A817" s="39"/>
    </row>
    <row r="818" spans="1:1" ht="15.75" customHeight="1" x14ac:dyDescent="0.25">
      <c r="A818" s="39"/>
    </row>
    <row r="819" spans="1:1" ht="15.75" customHeight="1" x14ac:dyDescent="0.25">
      <c r="A819" s="39"/>
    </row>
    <row r="820" spans="1:1" ht="15.75" customHeight="1" x14ac:dyDescent="0.25">
      <c r="A820" s="39"/>
    </row>
    <row r="821" spans="1:1" ht="15.75" customHeight="1" x14ac:dyDescent="0.25">
      <c r="A821" s="39"/>
    </row>
    <row r="822" spans="1:1" ht="15.75" customHeight="1" x14ac:dyDescent="0.25">
      <c r="A822" s="39"/>
    </row>
    <row r="823" spans="1:1" ht="15.75" customHeight="1" x14ac:dyDescent="0.25">
      <c r="A823" s="39"/>
    </row>
    <row r="824" spans="1:1" ht="15.75" customHeight="1" x14ac:dyDescent="0.25">
      <c r="A824" s="39"/>
    </row>
    <row r="825" spans="1:1" ht="15.75" customHeight="1" x14ac:dyDescent="0.25">
      <c r="A825" s="39"/>
    </row>
    <row r="826" spans="1:1" ht="15.75" customHeight="1" x14ac:dyDescent="0.25">
      <c r="A826" s="39"/>
    </row>
    <row r="827" spans="1:1" ht="15.75" customHeight="1" x14ac:dyDescent="0.25">
      <c r="A827" s="39"/>
    </row>
    <row r="828" spans="1:1" ht="15.75" customHeight="1" x14ac:dyDescent="0.25">
      <c r="A828" s="39"/>
    </row>
    <row r="829" spans="1:1" ht="15.75" customHeight="1" x14ac:dyDescent="0.25">
      <c r="A829" s="39"/>
    </row>
    <row r="830" spans="1:1" ht="15.75" customHeight="1" x14ac:dyDescent="0.25">
      <c r="A830" s="39"/>
    </row>
    <row r="831" spans="1:1" ht="15.75" customHeight="1" x14ac:dyDescent="0.25">
      <c r="A831" s="39"/>
    </row>
    <row r="832" spans="1:1" ht="15.75" customHeight="1" x14ac:dyDescent="0.25">
      <c r="A832" s="39"/>
    </row>
    <row r="833" spans="1:1" ht="15.75" customHeight="1" x14ac:dyDescent="0.25">
      <c r="A833" s="39"/>
    </row>
    <row r="834" spans="1:1" ht="15.75" customHeight="1" x14ac:dyDescent="0.25">
      <c r="A834" s="39"/>
    </row>
    <row r="835" spans="1:1" ht="15.75" customHeight="1" x14ac:dyDescent="0.25">
      <c r="A835" s="39"/>
    </row>
    <row r="836" spans="1:1" ht="15.75" customHeight="1" x14ac:dyDescent="0.25">
      <c r="A836" s="39"/>
    </row>
    <row r="837" spans="1:1" ht="15.75" customHeight="1" x14ac:dyDescent="0.25">
      <c r="A837" s="39"/>
    </row>
    <row r="838" spans="1:1" ht="15.75" customHeight="1" x14ac:dyDescent="0.25">
      <c r="A838" s="39"/>
    </row>
    <row r="839" spans="1:1" ht="15.75" customHeight="1" x14ac:dyDescent="0.25">
      <c r="A839" s="39"/>
    </row>
    <row r="840" spans="1:1" ht="15.75" customHeight="1" x14ac:dyDescent="0.25">
      <c r="A840" s="39"/>
    </row>
    <row r="841" spans="1:1" ht="15.75" customHeight="1" x14ac:dyDescent="0.25">
      <c r="A841" s="39"/>
    </row>
    <row r="842" spans="1:1" ht="15.75" customHeight="1" x14ac:dyDescent="0.25">
      <c r="A842" s="39"/>
    </row>
    <row r="843" spans="1:1" ht="15.75" customHeight="1" x14ac:dyDescent="0.25">
      <c r="A843" s="39"/>
    </row>
    <row r="844" spans="1:1" ht="15.75" customHeight="1" x14ac:dyDescent="0.25">
      <c r="A844" s="39"/>
    </row>
    <row r="845" spans="1:1" ht="15.75" customHeight="1" x14ac:dyDescent="0.25">
      <c r="A845" s="39"/>
    </row>
    <row r="846" spans="1:1" ht="15.75" customHeight="1" x14ac:dyDescent="0.25">
      <c r="A846" s="39"/>
    </row>
    <row r="847" spans="1:1" ht="15.75" customHeight="1" x14ac:dyDescent="0.25">
      <c r="A847" s="39"/>
    </row>
    <row r="848" spans="1:1" ht="15.75" customHeight="1" x14ac:dyDescent="0.25">
      <c r="A848" s="39"/>
    </row>
    <row r="849" spans="1:1" ht="15.75" customHeight="1" x14ac:dyDescent="0.25">
      <c r="A849" s="39"/>
    </row>
    <row r="850" spans="1:1" ht="15.75" customHeight="1" x14ac:dyDescent="0.25">
      <c r="A850" s="39"/>
    </row>
    <row r="851" spans="1:1" ht="15.75" customHeight="1" x14ac:dyDescent="0.25">
      <c r="A851" s="39"/>
    </row>
    <row r="852" spans="1:1" ht="15.75" customHeight="1" x14ac:dyDescent="0.25">
      <c r="A852" s="39"/>
    </row>
    <row r="853" spans="1:1" ht="15.75" customHeight="1" x14ac:dyDescent="0.25">
      <c r="A853" s="39"/>
    </row>
    <row r="854" spans="1:1" ht="15.75" customHeight="1" x14ac:dyDescent="0.25">
      <c r="A854" s="39"/>
    </row>
    <row r="855" spans="1:1" ht="15.75" customHeight="1" x14ac:dyDescent="0.25">
      <c r="A855" s="39"/>
    </row>
    <row r="856" spans="1:1" ht="15.75" customHeight="1" x14ac:dyDescent="0.25">
      <c r="A856" s="39"/>
    </row>
    <row r="857" spans="1:1" ht="15.75" customHeight="1" x14ac:dyDescent="0.25">
      <c r="A857" s="39"/>
    </row>
    <row r="858" spans="1:1" ht="15.75" customHeight="1" x14ac:dyDescent="0.25">
      <c r="A858" s="39"/>
    </row>
    <row r="859" spans="1:1" ht="15.75" customHeight="1" x14ac:dyDescent="0.25">
      <c r="A859" s="39"/>
    </row>
    <row r="860" spans="1:1" ht="15.75" customHeight="1" x14ac:dyDescent="0.25">
      <c r="A860" s="39"/>
    </row>
    <row r="861" spans="1:1" ht="15.75" customHeight="1" x14ac:dyDescent="0.25">
      <c r="A861" s="39"/>
    </row>
    <row r="862" spans="1:1" ht="15.75" customHeight="1" x14ac:dyDescent="0.25">
      <c r="A862" s="39"/>
    </row>
    <row r="863" spans="1:1" ht="15.75" customHeight="1" x14ac:dyDescent="0.25">
      <c r="A863" s="39"/>
    </row>
    <row r="864" spans="1:1" ht="15.75" customHeight="1" x14ac:dyDescent="0.25">
      <c r="A864" s="39"/>
    </row>
    <row r="865" spans="1:1" ht="15.75" customHeight="1" x14ac:dyDescent="0.25">
      <c r="A865" s="39"/>
    </row>
    <row r="866" spans="1:1" ht="15.75" customHeight="1" x14ac:dyDescent="0.25">
      <c r="A866" s="39"/>
    </row>
    <row r="867" spans="1:1" ht="15.75" customHeight="1" x14ac:dyDescent="0.25">
      <c r="A867" s="39"/>
    </row>
    <row r="868" spans="1:1" ht="15.75" customHeight="1" x14ac:dyDescent="0.25">
      <c r="A868" s="39"/>
    </row>
    <row r="869" spans="1:1" ht="15.75" customHeight="1" x14ac:dyDescent="0.25">
      <c r="A869" s="39"/>
    </row>
    <row r="870" spans="1:1" ht="15.75" customHeight="1" x14ac:dyDescent="0.25">
      <c r="A870" s="39"/>
    </row>
    <row r="871" spans="1:1" ht="15.75" customHeight="1" x14ac:dyDescent="0.25">
      <c r="A871" s="39"/>
    </row>
    <row r="872" spans="1:1" ht="15.75" customHeight="1" x14ac:dyDescent="0.25">
      <c r="A872" s="39"/>
    </row>
    <row r="873" spans="1:1" ht="15.75" customHeight="1" x14ac:dyDescent="0.25">
      <c r="A873" s="39"/>
    </row>
    <row r="874" spans="1:1" ht="15.75" customHeight="1" x14ac:dyDescent="0.25">
      <c r="A874" s="39"/>
    </row>
    <row r="875" spans="1:1" ht="15.75" customHeight="1" x14ac:dyDescent="0.25">
      <c r="A875" s="39"/>
    </row>
    <row r="876" spans="1:1" ht="15.75" customHeight="1" x14ac:dyDescent="0.25">
      <c r="A876" s="39"/>
    </row>
    <row r="877" spans="1:1" ht="15.75" customHeight="1" x14ac:dyDescent="0.25">
      <c r="A877" s="39"/>
    </row>
    <row r="878" spans="1:1" ht="15.75" customHeight="1" x14ac:dyDescent="0.25">
      <c r="A878" s="39"/>
    </row>
    <row r="879" spans="1:1" ht="15.75" customHeight="1" x14ac:dyDescent="0.25">
      <c r="A879" s="39"/>
    </row>
    <row r="880" spans="1:1" ht="15.75" customHeight="1" x14ac:dyDescent="0.25">
      <c r="A880" s="39"/>
    </row>
    <row r="881" spans="1:1" ht="15.75" customHeight="1" x14ac:dyDescent="0.25">
      <c r="A881" s="39"/>
    </row>
    <row r="882" spans="1:1" ht="15.75" customHeight="1" x14ac:dyDescent="0.25">
      <c r="A882" s="39"/>
    </row>
    <row r="883" spans="1:1" ht="15.75" customHeight="1" x14ac:dyDescent="0.25">
      <c r="A883" s="39"/>
    </row>
    <row r="884" spans="1:1" ht="15.75" customHeight="1" x14ac:dyDescent="0.25">
      <c r="A884" s="39"/>
    </row>
    <row r="885" spans="1:1" ht="15.75" customHeight="1" x14ac:dyDescent="0.25">
      <c r="A885" s="39"/>
    </row>
    <row r="886" spans="1:1" ht="15.75" customHeight="1" x14ac:dyDescent="0.25">
      <c r="A886" s="39"/>
    </row>
    <row r="887" spans="1:1" ht="15.75" customHeight="1" x14ac:dyDescent="0.25">
      <c r="A887" s="39"/>
    </row>
    <row r="888" spans="1:1" ht="15.75" customHeight="1" x14ac:dyDescent="0.25">
      <c r="A888" s="39"/>
    </row>
    <row r="889" spans="1:1" ht="15.75" customHeight="1" x14ac:dyDescent="0.25">
      <c r="A889" s="39"/>
    </row>
    <row r="890" spans="1:1" ht="15.75" customHeight="1" x14ac:dyDescent="0.25">
      <c r="A890" s="39"/>
    </row>
    <row r="891" spans="1:1" ht="15.75" customHeight="1" x14ac:dyDescent="0.25">
      <c r="A891" s="39"/>
    </row>
    <row r="892" spans="1:1" ht="15.75" customHeight="1" x14ac:dyDescent="0.25">
      <c r="A892" s="39"/>
    </row>
    <row r="893" spans="1:1" ht="15.75" customHeight="1" x14ac:dyDescent="0.25">
      <c r="A893" s="39"/>
    </row>
    <row r="894" spans="1:1" ht="15.75" customHeight="1" x14ac:dyDescent="0.25">
      <c r="A894" s="39"/>
    </row>
    <row r="895" spans="1:1" ht="15.75" customHeight="1" x14ac:dyDescent="0.25">
      <c r="A895" s="39"/>
    </row>
    <row r="896" spans="1:1" ht="15.75" customHeight="1" x14ac:dyDescent="0.25">
      <c r="A896" s="39"/>
    </row>
    <row r="897" spans="1:1" ht="15.75" customHeight="1" x14ac:dyDescent="0.25">
      <c r="A897" s="39"/>
    </row>
    <row r="898" spans="1:1" ht="15.75" customHeight="1" x14ac:dyDescent="0.25">
      <c r="A898" s="39"/>
    </row>
    <row r="899" spans="1:1" ht="15.75" customHeight="1" x14ac:dyDescent="0.25">
      <c r="A899" s="39"/>
    </row>
    <row r="900" spans="1:1" ht="15.75" customHeight="1" x14ac:dyDescent="0.25">
      <c r="A900" s="39"/>
    </row>
    <row r="901" spans="1:1" ht="15.75" customHeight="1" x14ac:dyDescent="0.25">
      <c r="A901" s="39"/>
    </row>
    <row r="902" spans="1:1" ht="15.75" customHeight="1" x14ac:dyDescent="0.25">
      <c r="A902" s="39"/>
    </row>
    <row r="903" spans="1:1" ht="15.75" customHeight="1" x14ac:dyDescent="0.25">
      <c r="A903" s="39"/>
    </row>
    <row r="904" spans="1:1" ht="15.75" customHeight="1" x14ac:dyDescent="0.25">
      <c r="A904" s="39"/>
    </row>
    <row r="905" spans="1:1" ht="15.75" customHeight="1" x14ac:dyDescent="0.25">
      <c r="A905" s="39"/>
    </row>
    <row r="906" spans="1:1" ht="15.75" customHeight="1" x14ac:dyDescent="0.25">
      <c r="A906" s="39"/>
    </row>
    <row r="907" spans="1:1" ht="15.75" customHeight="1" x14ac:dyDescent="0.25">
      <c r="A907" s="39"/>
    </row>
    <row r="908" spans="1:1" ht="15.75" customHeight="1" x14ac:dyDescent="0.25">
      <c r="A908" s="39"/>
    </row>
    <row r="909" spans="1:1" ht="15.75" customHeight="1" x14ac:dyDescent="0.25">
      <c r="A909" s="39"/>
    </row>
    <row r="910" spans="1:1" ht="15.75" customHeight="1" x14ac:dyDescent="0.25">
      <c r="A910" s="39"/>
    </row>
    <row r="911" spans="1:1" ht="15.75" customHeight="1" x14ac:dyDescent="0.25">
      <c r="A911" s="39"/>
    </row>
    <row r="912" spans="1:1" ht="15.75" customHeight="1" x14ac:dyDescent="0.25">
      <c r="A912" s="39"/>
    </row>
    <row r="913" spans="1:1" ht="15.75" customHeight="1" x14ac:dyDescent="0.25">
      <c r="A913" s="39"/>
    </row>
    <row r="914" spans="1:1" ht="15.75" customHeight="1" x14ac:dyDescent="0.25">
      <c r="A914" s="39"/>
    </row>
    <row r="915" spans="1:1" ht="15.75" customHeight="1" x14ac:dyDescent="0.25">
      <c r="A915" s="39"/>
    </row>
    <row r="916" spans="1:1" ht="15.75" customHeight="1" x14ac:dyDescent="0.25">
      <c r="A916" s="39"/>
    </row>
    <row r="917" spans="1:1" ht="15.75" customHeight="1" x14ac:dyDescent="0.25">
      <c r="A917" s="39"/>
    </row>
    <row r="918" spans="1:1" ht="15.75" customHeight="1" x14ac:dyDescent="0.25">
      <c r="A918" s="39"/>
    </row>
    <row r="919" spans="1:1" ht="15.75" customHeight="1" x14ac:dyDescent="0.25">
      <c r="A919" s="39"/>
    </row>
    <row r="920" spans="1:1" ht="15.75" customHeight="1" x14ac:dyDescent="0.25">
      <c r="A920" s="39"/>
    </row>
    <row r="921" spans="1:1" ht="15.75" customHeight="1" x14ac:dyDescent="0.25">
      <c r="A921" s="39"/>
    </row>
    <row r="922" spans="1:1" ht="15.75" customHeight="1" x14ac:dyDescent="0.25">
      <c r="A922" s="39"/>
    </row>
    <row r="923" spans="1:1" ht="15.75" customHeight="1" x14ac:dyDescent="0.25">
      <c r="A923" s="39"/>
    </row>
    <row r="924" spans="1:1" ht="15.75" customHeight="1" x14ac:dyDescent="0.25">
      <c r="A924" s="39"/>
    </row>
    <row r="925" spans="1:1" ht="15.75" customHeight="1" x14ac:dyDescent="0.25">
      <c r="A925" s="39"/>
    </row>
    <row r="926" spans="1:1" ht="15.75" customHeight="1" x14ac:dyDescent="0.25">
      <c r="A926" s="39"/>
    </row>
    <row r="927" spans="1:1" ht="15.75" customHeight="1" x14ac:dyDescent="0.25">
      <c r="A927" s="39"/>
    </row>
    <row r="928" spans="1:1" ht="15.75" customHeight="1" x14ac:dyDescent="0.25">
      <c r="A928" s="39"/>
    </row>
    <row r="929" spans="1:1" ht="15.75" customHeight="1" x14ac:dyDescent="0.25">
      <c r="A929" s="39"/>
    </row>
    <row r="930" spans="1:1" ht="15.75" customHeight="1" x14ac:dyDescent="0.25">
      <c r="A930" s="39"/>
    </row>
    <row r="931" spans="1:1" ht="15.75" customHeight="1" x14ac:dyDescent="0.25">
      <c r="A931" s="39"/>
    </row>
    <row r="932" spans="1:1" ht="15.75" customHeight="1" x14ac:dyDescent="0.25">
      <c r="A932" s="39"/>
    </row>
    <row r="933" spans="1:1" ht="15.75" customHeight="1" x14ac:dyDescent="0.25">
      <c r="A933" s="39"/>
    </row>
    <row r="934" spans="1:1" ht="15.75" customHeight="1" x14ac:dyDescent="0.25">
      <c r="A934" s="39"/>
    </row>
    <row r="935" spans="1:1" ht="15.75" customHeight="1" x14ac:dyDescent="0.25">
      <c r="A935" s="39"/>
    </row>
    <row r="936" spans="1:1" ht="15.75" customHeight="1" x14ac:dyDescent="0.25">
      <c r="A936" s="39"/>
    </row>
    <row r="937" spans="1:1" ht="15.75" customHeight="1" x14ac:dyDescent="0.25">
      <c r="A937" s="39"/>
    </row>
    <row r="938" spans="1:1" ht="15.75" customHeight="1" x14ac:dyDescent="0.25">
      <c r="A938" s="39"/>
    </row>
    <row r="939" spans="1:1" ht="15.75" customHeight="1" x14ac:dyDescent="0.25">
      <c r="A939" s="39"/>
    </row>
    <row r="940" spans="1:1" ht="15.75" customHeight="1" x14ac:dyDescent="0.25">
      <c r="A940" s="39"/>
    </row>
    <row r="941" spans="1:1" ht="15.75" customHeight="1" x14ac:dyDescent="0.25">
      <c r="A941" s="39"/>
    </row>
    <row r="942" spans="1:1" ht="15.75" customHeight="1" x14ac:dyDescent="0.25">
      <c r="A942" s="39"/>
    </row>
    <row r="943" spans="1:1" ht="15.75" customHeight="1" x14ac:dyDescent="0.25">
      <c r="A943" s="39"/>
    </row>
    <row r="944" spans="1:1" ht="15.75" customHeight="1" x14ac:dyDescent="0.25">
      <c r="A944" s="39"/>
    </row>
    <row r="945" spans="1:1" ht="15.75" customHeight="1" x14ac:dyDescent="0.25">
      <c r="A945" s="39"/>
    </row>
    <row r="946" spans="1:1" ht="15.75" customHeight="1" x14ac:dyDescent="0.25">
      <c r="A946" s="39"/>
    </row>
    <row r="947" spans="1:1" ht="15.75" customHeight="1" x14ac:dyDescent="0.25">
      <c r="A947" s="39"/>
    </row>
    <row r="948" spans="1:1" ht="15.75" customHeight="1" x14ac:dyDescent="0.25">
      <c r="A948" s="39"/>
    </row>
    <row r="949" spans="1:1" ht="15.75" customHeight="1" x14ac:dyDescent="0.25">
      <c r="A949" s="39"/>
    </row>
    <row r="950" spans="1:1" ht="15.75" customHeight="1" x14ac:dyDescent="0.25">
      <c r="A950" s="39"/>
    </row>
    <row r="951" spans="1:1" ht="15.75" customHeight="1" x14ac:dyDescent="0.25">
      <c r="A951" s="39"/>
    </row>
    <row r="952" spans="1:1" ht="15.75" customHeight="1" x14ac:dyDescent="0.25">
      <c r="A952" s="39"/>
    </row>
    <row r="953" spans="1:1" ht="15.75" customHeight="1" x14ac:dyDescent="0.25">
      <c r="A953" s="39"/>
    </row>
    <row r="954" spans="1:1" ht="15.75" customHeight="1" x14ac:dyDescent="0.25">
      <c r="A954" s="39"/>
    </row>
    <row r="955" spans="1:1" ht="15.75" customHeight="1" x14ac:dyDescent="0.25">
      <c r="A955" s="39"/>
    </row>
    <row r="956" spans="1:1" ht="15.75" customHeight="1" x14ac:dyDescent="0.25">
      <c r="A956" s="39"/>
    </row>
    <row r="957" spans="1:1" ht="15.75" customHeight="1" x14ac:dyDescent="0.25">
      <c r="A957" s="39"/>
    </row>
    <row r="958" spans="1:1" ht="15.75" customHeight="1" x14ac:dyDescent="0.25">
      <c r="A958" s="39"/>
    </row>
    <row r="959" spans="1:1" ht="15.75" customHeight="1" x14ac:dyDescent="0.25">
      <c r="A959" s="39"/>
    </row>
    <row r="960" spans="1:1" ht="15.75" customHeight="1" x14ac:dyDescent="0.25">
      <c r="A960" s="39"/>
    </row>
    <row r="961" spans="1:1" ht="15.75" customHeight="1" x14ac:dyDescent="0.25">
      <c r="A961" s="39"/>
    </row>
    <row r="962" spans="1:1" ht="15.75" customHeight="1" x14ac:dyDescent="0.25">
      <c r="A962" s="39"/>
    </row>
    <row r="963" spans="1:1" ht="15.75" customHeight="1" x14ac:dyDescent="0.25">
      <c r="A963" s="39"/>
    </row>
    <row r="964" spans="1:1" ht="15.75" customHeight="1" x14ac:dyDescent="0.25">
      <c r="A964" s="39"/>
    </row>
    <row r="965" spans="1:1" ht="15.75" customHeight="1" x14ac:dyDescent="0.25">
      <c r="A965" s="39"/>
    </row>
    <row r="966" spans="1:1" ht="15.75" customHeight="1" x14ac:dyDescent="0.25">
      <c r="A966" s="39"/>
    </row>
    <row r="967" spans="1:1" ht="15.75" customHeight="1" x14ac:dyDescent="0.25">
      <c r="A967" s="39"/>
    </row>
    <row r="968" spans="1:1" ht="15.75" customHeight="1" x14ac:dyDescent="0.25">
      <c r="A968" s="39"/>
    </row>
    <row r="969" spans="1:1" ht="15.75" customHeight="1" x14ac:dyDescent="0.25">
      <c r="A969" s="39"/>
    </row>
    <row r="970" spans="1:1" ht="15.75" customHeight="1" x14ac:dyDescent="0.25">
      <c r="A970" s="39"/>
    </row>
    <row r="971" spans="1:1" ht="15.75" customHeight="1" x14ac:dyDescent="0.25">
      <c r="A971" s="39"/>
    </row>
    <row r="972" spans="1:1" ht="15.75" customHeight="1" x14ac:dyDescent="0.25">
      <c r="A972" s="39"/>
    </row>
    <row r="973" spans="1:1" ht="15.75" customHeight="1" x14ac:dyDescent="0.25">
      <c r="A973" s="39"/>
    </row>
    <row r="974" spans="1:1" ht="15.75" customHeight="1" x14ac:dyDescent="0.25">
      <c r="A974" s="39"/>
    </row>
    <row r="975" spans="1:1" ht="15.75" customHeight="1" x14ac:dyDescent="0.25">
      <c r="A975" s="39"/>
    </row>
    <row r="976" spans="1:1" ht="15.75" customHeight="1" x14ac:dyDescent="0.25">
      <c r="A976" s="39"/>
    </row>
    <row r="977" spans="1:1" ht="15.75" customHeight="1" x14ac:dyDescent="0.25">
      <c r="A977" s="39"/>
    </row>
    <row r="978" spans="1:1" ht="15.75" customHeight="1" x14ac:dyDescent="0.25">
      <c r="A978" s="39"/>
    </row>
    <row r="979" spans="1:1" ht="15.75" customHeight="1" x14ac:dyDescent="0.25">
      <c r="A979" s="39"/>
    </row>
    <row r="980" spans="1:1" ht="15.75" customHeight="1" x14ac:dyDescent="0.25">
      <c r="A980" s="39"/>
    </row>
    <row r="981" spans="1:1" ht="15.75" customHeight="1" x14ac:dyDescent="0.25">
      <c r="A981" s="39"/>
    </row>
    <row r="982" spans="1:1" ht="15.75" customHeight="1" x14ac:dyDescent="0.25">
      <c r="A982" s="39"/>
    </row>
    <row r="983" spans="1:1" ht="15.75" customHeight="1" x14ac:dyDescent="0.25">
      <c r="A983" s="39"/>
    </row>
    <row r="984" spans="1:1" ht="15.75" customHeight="1" x14ac:dyDescent="0.25">
      <c r="A984" s="39"/>
    </row>
    <row r="985" spans="1:1" ht="15.75" customHeight="1" x14ac:dyDescent="0.25">
      <c r="A985" s="39"/>
    </row>
    <row r="986" spans="1:1" ht="15.75" customHeight="1" x14ac:dyDescent="0.25">
      <c r="A986" s="39"/>
    </row>
    <row r="987" spans="1:1" ht="15.75" customHeight="1" x14ac:dyDescent="0.25">
      <c r="A987" s="39"/>
    </row>
    <row r="988" spans="1:1" ht="15.75" customHeight="1" x14ac:dyDescent="0.25">
      <c r="A988" s="39"/>
    </row>
    <row r="989" spans="1:1" ht="15.75" customHeight="1" x14ac:dyDescent="0.25">
      <c r="A989" s="39"/>
    </row>
    <row r="990" spans="1:1" ht="15.75" customHeight="1" x14ac:dyDescent="0.25">
      <c r="A990" s="39"/>
    </row>
    <row r="991" spans="1:1" ht="15.75" customHeight="1" x14ac:dyDescent="0.25">
      <c r="A991" s="39"/>
    </row>
    <row r="992" spans="1:1" ht="15.75" customHeight="1" x14ac:dyDescent="0.25">
      <c r="A992" s="39"/>
    </row>
    <row r="993" spans="1:1" ht="15.75" customHeight="1" x14ac:dyDescent="0.25">
      <c r="A993" s="39"/>
    </row>
    <row r="994" spans="1:1" ht="15.75" customHeight="1" x14ac:dyDescent="0.25">
      <c r="A994" s="39"/>
    </row>
    <row r="995" spans="1:1" ht="15.75" customHeight="1" x14ac:dyDescent="0.25">
      <c r="A995" s="39"/>
    </row>
  </sheetData>
  <mergeCells count="1">
    <mergeCell ref="A1:K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4.42578125" defaultRowHeight="15"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4.42578125" defaultRowHeight="1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Lahan yang Dimiliki </vt:lpstr>
      <vt:lpstr>DATA PENYULUH PERTANIAN</vt:lpstr>
      <vt:lpstr>DATA PENYULUH PERTANIAN 2</vt:lpstr>
      <vt:lpstr>DATA DEMOGRAFI PETANI</vt:lpstr>
      <vt:lpstr>DATA BRIGADE PANGAN</vt:lpstr>
      <vt:lpstr>DATA PETANI MILENIAL</vt:lpstr>
      <vt:lpstr>Sheet1</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AIO 3 22ITL6</dc:creator>
  <cp:lastModifiedBy>Lenovo AIO 3 22ITL6</cp:lastModifiedBy>
  <dcterms:created xsi:type="dcterms:W3CDTF">2025-12-22T03:43:50Z</dcterms:created>
  <dcterms:modified xsi:type="dcterms:W3CDTF">2025-12-22T05:28:24Z</dcterms:modified>
</cp:coreProperties>
</file>